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ebastian\Documents\Stonks\"/>
    </mc:Choice>
  </mc:AlternateContent>
  <xr:revisionPtr revIDLastSave="0" documentId="13_ncr:1_{EBB60C60-4B08-4B68-AFF0-CB1EC6922297}" xr6:coauthVersionLast="46" xr6:coauthVersionMax="46" xr10:uidLastSave="{00000000-0000-0000-0000-000000000000}"/>
  <bookViews>
    <workbookView xWindow="-110" yWindow="-110" windowWidth="19420" windowHeight="10420" xr2:uid="{00000000-000D-0000-FFFF-FFFF00000000}"/>
  </bookViews>
  <sheets>
    <sheet name="SPCE_cuphandle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8" i="1" l="1"/>
  <c r="O34" i="1"/>
  <c r="O50" i="1"/>
  <c r="O66" i="1"/>
  <c r="O82" i="1"/>
  <c r="N3" i="1"/>
  <c r="O2" i="1" s="1"/>
  <c r="N9" i="1"/>
  <c r="O8" i="1" s="1"/>
  <c r="N10" i="1"/>
  <c r="O9" i="1" s="1"/>
  <c r="N11" i="1"/>
  <c r="O10" i="1" s="1"/>
  <c r="N12" i="1"/>
  <c r="O11" i="1" s="1"/>
  <c r="N18" i="1"/>
  <c r="N19" i="1"/>
  <c r="N25" i="1"/>
  <c r="O24" i="1" s="1"/>
  <c r="N26" i="1"/>
  <c r="O25" i="1" s="1"/>
  <c r="N27" i="1"/>
  <c r="O26" i="1" s="1"/>
  <c r="N28" i="1"/>
  <c r="O27" i="1" s="1"/>
  <c r="N34" i="1"/>
  <c r="N35" i="1"/>
  <c r="N41" i="1"/>
  <c r="O40" i="1" s="1"/>
  <c r="N42" i="1"/>
  <c r="O41" i="1" s="1"/>
  <c r="N43" i="1"/>
  <c r="O42" i="1" s="1"/>
  <c r="N44" i="1"/>
  <c r="O43" i="1" s="1"/>
  <c r="N50" i="1"/>
  <c r="N51" i="1"/>
  <c r="N57" i="1"/>
  <c r="O56" i="1" s="1"/>
  <c r="N58" i="1"/>
  <c r="O57" i="1" s="1"/>
  <c r="N59" i="1"/>
  <c r="O58" i="1" s="1"/>
  <c r="N60" i="1"/>
  <c r="O59" i="1" s="1"/>
  <c r="N66" i="1"/>
  <c r="N67" i="1"/>
  <c r="N72" i="1"/>
  <c r="O71" i="1" s="1"/>
  <c r="N73" i="1"/>
  <c r="O72" i="1" s="1"/>
  <c r="N74" i="1"/>
  <c r="O73" i="1" s="1"/>
  <c r="N75" i="1"/>
  <c r="O74" i="1" s="1"/>
  <c r="N82" i="1"/>
  <c r="N83" i="1"/>
  <c r="N88" i="1"/>
  <c r="O87" i="1" s="1"/>
  <c r="N89" i="1"/>
  <c r="O88" i="1" s="1"/>
  <c r="N90" i="1"/>
  <c r="O89" i="1" s="1"/>
  <c r="N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2" i="1"/>
  <c r="G3" i="1"/>
  <c r="G4" i="1"/>
  <c r="G5" i="1"/>
  <c r="N4" i="1" s="1"/>
  <c r="O3" i="1" s="1"/>
  <c r="G6" i="1"/>
  <c r="N5" i="1" s="1"/>
  <c r="O4" i="1" s="1"/>
  <c r="G7" i="1"/>
  <c r="G8" i="1"/>
  <c r="N7" i="1" s="1"/>
  <c r="G9" i="1"/>
  <c r="N8" i="1" s="1"/>
  <c r="O7" i="1" s="1"/>
  <c r="G10" i="1"/>
  <c r="G11" i="1"/>
  <c r="G12" i="1"/>
  <c r="G13" i="1"/>
  <c r="G14" i="1"/>
  <c r="N13" i="1" s="1"/>
  <c r="O12" i="1" s="1"/>
  <c r="G15" i="1"/>
  <c r="G16" i="1"/>
  <c r="N15" i="1" s="1"/>
  <c r="G17" i="1"/>
  <c r="N16" i="1" s="1"/>
  <c r="O15" i="1" s="1"/>
  <c r="G18" i="1"/>
  <c r="G19" i="1"/>
  <c r="G20" i="1"/>
  <c r="G21" i="1"/>
  <c r="N20" i="1" s="1"/>
  <c r="O19" i="1" s="1"/>
  <c r="G22" i="1"/>
  <c r="N21" i="1" s="1"/>
  <c r="O20" i="1" s="1"/>
  <c r="G23" i="1"/>
  <c r="G24" i="1"/>
  <c r="N23" i="1" s="1"/>
  <c r="G25" i="1"/>
  <c r="N24" i="1" s="1"/>
  <c r="O23" i="1" s="1"/>
  <c r="G26" i="1"/>
  <c r="G27" i="1"/>
  <c r="G28" i="1"/>
  <c r="G29" i="1"/>
  <c r="G30" i="1"/>
  <c r="N29" i="1" s="1"/>
  <c r="O28" i="1" s="1"/>
  <c r="G31" i="1"/>
  <c r="G32" i="1"/>
  <c r="N31" i="1" s="1"/>
  <c r="G33" i="1"/>
  <c r="N32" i="1" s="1"/>
  <c r="O31" i="1" s="1"/>
  <c r="G34" i="1"/>
  <c r="G35" i="1"/>
  <c r="G36" i="1"/>
  <c r="G37" i="1"/>
  <c r="N36" i="1" s="1"/>
  <c r="O35" i="1" s="1"/>
  <c r="G38" i="1"/>
  <c r="N37" i="1" s="1"/>
  <c r="O36" i="1" s="1"/>
  <c r="G39" i="1"/>
  <c r="G40" i="1"/>
  <c r="N39" i="1" s="1"/>
  <c r="G41" i="1"/>
  <c r="N40" i="1" s="1"/>
  <c r="O39" i="1" s="1"/>
  <c r="G42" i="1"/>
  <c r="G43" i="1"/>
  <c r="G44" i="1"/>
  <c r="G45" i="1"/>
  <c r="G46" i="1"/>
  <c r="N45" i="1" s="1"/>
  <c r="O44" i="1" s="1"/>
  <c r="G47" i="1"/>
  <c r="G48" i="1"/>
  <c r="N47" i="1" s="1"/>
  <c r="G49" i="1"/>
  <c r="N48" i="1" s="1"/>
  <c r="O47" i="1" s="1"/>
  <c r="G50" i="1"/>
  <c r="G51" i="1"/>
  <c r="G52" i="1"/>
  <c r="G53" i="1"/>
  <c r="N52" i="1" s="1"/>
  <c r="O51" i="1" s="1"/>
  <c r="G54" i="1"/>
  <c r="N53" i="1" s="1"/>
  <c r="O52" i="1" s="1"/>
  <c r="G55" i="1"/>
  <c r="G56" i="1"/>
  <c r="N55" i="1" s="1"/>
  <c r="G57" i="1"/>
  <c r="N56" i="1" s="1"/>
  <c r="O55" i="1" s="1"/>
  <c r="G58" i="1"/>
  <c r="G59" i="1"/>
  <c r="G60" i="1"/>
  <c r="G61" i="1"/>
  <c r="G62" i="1"/>
  <c r="N61" i="1" s="1"/>
  <c r="O60" i="1" s="1"/>
  <c r="G63" i="1"/>
  <c r="G64" i="1"/>
  <c r="N63" i="1" s="1"/>
  <c r="G65" i="1"/>
  <c r="N64" i="1" s="1"/>
  <c r="O63" i="1" s="1"/>
  <c r="G66" i="1"/>
  <c r="G67" i="1"/>
  <c r="G68" i="1"/>
  <c r="G69" i="1"/>
  <c r="N68" i="1" s="1"/>
  <c r="O67" i="1" s="1"/>
  <c r="G70" i="1"/>
  <c r="N69" i="1" s="1"/>
  <c r="O68" i="1" s="1"/>
  <c r="G71" i="1"/>
  <c r="G72" i="1"/>
  <c r="N71" i="1" s="1"/>
  <c r="G73" i="1"/>
  <c r="G74" i="1"/>
  <c r="G75" i="1"/>
  <c r="G76" i="1"/>
  <c r="G77" i="1"/>
  <c r="N76" i="1" s="1"/>
  <c r="O75" i="1" s="1"/>
  <c r="G78" i="1"/>
  <c r="N77" i="1" s="1"/>
  <c r="O76" i="1" s="1"/>
  <c r="G79" i="1"/>
  <c r="G80" i="1"/>
  <c r="N79" i="1" s="1"/>
  <c r="G81" i="1"/>
  <c r="N80" i="1" s="1"/>
  <c r="O79" i="1" s="1"/>
  <c r="G82" i="1"/>
  <c r="G83" i="1"/>
  <c r="G84" i="1"/>
  <c r="G85" i="1"/>
  <c r="N84" i="1" s="1"/>
  <c r="O83" i="1" s="1"/>
  <c r="G86" i="1"/>
  <c r="N85" i="1" s="1"/>
  <c r="O84" i="1" s="1"/>
  <c r="G87" i="1"/>
  <c r="G88" i="1"/>
  <c r="N87" i="1" s="1"/>
  <c r="G89" i="1"/>
  <c r="G90" i="1"/>
  <c r="G91" i="1"/>
  <c r="G2" i="1"/>
  <c r="I2" i="1"/>
  <c r="N81" i="1" l="1"/>
  <c r="O30" i="1"/>
  <c r="O86" i="1"/>
  <c r="O70" i="1"/>
  <c r="N86" i="1"/>
  <c r="O85" i="1" s="1"/>
  <c r="N78" i="1"/>
  <c r="O77" i="1" s="1"/>
  <c r="N70" i="1"/>
  <c r="O69" i="1" s="1"/>
  <c r="N62" i="1"/>
  <c r="O61" i="1" s="1"/>
  <c r="N54" i="1"/>
  <c r="O53" i="1" s="1"/>
  <c r="N46" i="1"/>
  <c r="O45" i="1" s="1"/>
  <c r="N38" i="1"/>
  <c r="O37" i="1" s="1"/>
  <c r="N30" i="1"/>
  <c r="O29" i="1" s="1"/>
  <c r="N22" i="1"/>
  <c r="O21" i="1" s="1"/>
  <c r="N14" i="1"/>
  <c r="O13" i="1" s="1"/>
  <c r="N6" i="1"/>
  <c r="O5" i="1" s="1"/>
  <c r="N65" i="1"/>
  <c r="N49" i="1"/>
  <c r="N33" i="1"/>
  <c r="N17" i="1"/>
  <c r="K2" i="1"/>
  <c r="M8" i="1" s="1"/>
  <c r="J2" i="1"/>
  <c r="L9" i="1" s="1"/>
  <c r="O6" i="1" l="1"/>
  <c r="O46" i="1"/>
  <c r="O22" i="1"/>
  <c r="O62" i="1"/>
  <c r="O64" i="1"/>
  <c r="O65" i="1"/>
  <c r="O14" i="1"/>
  <c r="O16" i="1"/>
  <c r="O17" i="1"/>
  <c r="O32" i="1"/>
  <c r="O33" i="1"/>
  <c r="O38" i="1"/>
  <c r="O78" i="1"/>
  <c r="O48" i="1"/>
  <c r="O49" i="1"/>
  <c r="O54" i="1"/>
  <c r="O80" i="1"/>
  <c r="O81" i="1"/>
  <c r="M51" i="1"/>
  <c r="M16" i="1"/>
  <c r="M24" i="1"/>
  <c r="M30" i="1"/>
  <c r="M66" i="1"/>
  <c r="M90" i="1"/>
  <c r="M53" i="1"/>
  <c r="M44" i="1"/>
  <c r="M21" i="1"/>
  <c r="M80" i="1"/>
  <c r="M7" i="1"/>
  <c r="M57" i="1"/>
  <c r="M71" i="1"/>
  <c r="M88" i="1"/>
  <c r="M65" i="1"/>
  <c r="M59" i="1"/>
  <c r="M61" i="1"/>
  <c r="M29" i="1"/>
  <c r="M38" i="1"/>
  <c r="M79" i="1"/>
  <c r="M32" i="1"/>
  <c r="M73" i="1"/>
  <c r="M67" i="1"/>
  <c r="M60" i="1"/>
  <c r="M45" i="1"/>
  <c r="M46" i="1"/>
  <c r="M87" i="1"/>
  <c r="M17" i="1"/>
  <c r="M11" i="1"/>
  <c r="M75" i="1"/>
  <c r="M4" i="1"/>
  <c r="M69" i="1"/>
  <c r="M54" i="1"/>
  <c r="M31" i="1"/>
  <c r="M89" i="1"/>
  <c r="M48" i="1"/>
  <c r="M25" i="1"/>
  <c r="M18" i="1"/>
  <c r="M19" i="1"/>
  <c r="M83" i="1"/>
  <c r="M12" i="1"/>
  <c r="M76" i="1"/>
  <c r="M85" i="1"/>
  <c r="M62" i="1"/>
  <c r="M39" i="1"/>
  <c r="M10" i="1"/>
  <c r="M82" i="1"/>
  <c r="M52" i="1"/>
  <c r="M15" i="1"/>
  <c r="M9" i="1"/>
  <c r="M3" i="1"/>
  <c r="M77" i="1"/>
  <c r="M23" i="1"/>
  <c r="M40" i="1"/>
  <c r="M68" i="1"/>
  <c r="M56" i="1"/>
  <c r="M33" i="1"/>
  <c r="M26" i="1"/>
  <c r="M27" i="1"/>
  <c r="M91" i="1"/>
  <c r="M20" i="1"/>
  <c r="M84" i="1"/>
  <c r="M6" i="1"/>
  <c r="M70" i="1"/>
  <c r="M47" i="1"/>
  <c r="M34" i="1"/>
  <c r="M81" i="1"/>
  <c r="M64" i="1"/>
  <c r="M41" i="1"/>
  <c r="M42" i="1"/>
  <c r="M35" i="1"/>
  <c r="M13" i="1"/>
  <c r="M28" i="1"/>
  <c r="M2" i="1"/>
  <c r="M14" i="1"/>
  <c r="M78" i="1"/>
  <c r="M55" i="1"/>
  <c r="M50" i="1"/>
  <c r="M72" i="1"/>
  <c r="M49" i="1"/>
  <c r="M58" i="1"/>
  <c r="M43" i="1"/>
  <c r="M37" i="1"/>
  <c r="M36" i="1"/>
  <c r="M5" i="1"/>
  <c r="M22" i="1"/>
  <c r="M86" i="1"/>
  <c r="M63" i="1"/>
  <c r="M74" i="1"/>
  <c r="L33" i="1"/>
  <c r="L91" i="1"/>
  <c r="L22" i="1"/>
  <c r="L88" i="1"/>
  <c r="L30" i="1"/>
  <c r="L64" i="1"/>
  <c r="L49" i="1"/>
  <c r="L10" i="1"/>
  <c r="L74" i="1"/>
  <c r="L43" i="1"/>
  <c r="L12" i="1"/>
  <c r="L76" i="1"/>
  <c r="L61" i="1"/>
  <c r="L38" i="1"/>
  <c r="L15" i="1"/>
  <c r="L87" i="1"/>
  <c r="L72" i="1"/>
  <c r="L66" i="1"/>
  <c r="L53" i="1"/>
  <c r="L20" i="1"/>
  <c r="L23" i="1"/>
  <c r="L26" i="1"/>
  <c r="L59" i="1"/>
  <c r="L5" i="1"/>
  <c r="L77" i="1"/>
  <c r="L54" i="1"/>
  <c r="L31" i="1"/>
  <c r="L24" i="1"/>
  <c r="L13" i="1"/>
  <c r="L58" i="1"/>
  <c r="L60" i="1"/>
  <c r="L71" i="1"/>
  <c r="L4" i="1"/>
  <c r="L79" i="1"/>
  <c r="L18" i="1"/>
  <c r="L51" i="1"/>
  <c r="L46" i="1"/>
  <c r="L8" i="1"/>
  <c r="L90" i="1"/>
  <c r="L28" i="1"/>
  <c r="L73" i="1"/>
  <c r="L34" i="1"/>
  <c r="L3" i="1"/>
  <c r="L67" i="1"/>
  <c r="L36" i="1"/>
  <c r="L21" i="1"/>
  <c r="L85" i="1"/>
  <c r="L62" i="1"/>
  <c r="L39" i="1"/>
  <c r="L32" i="1"/>
  <c r="L55" i="1"/>
  <c r="L16" i="1"/>
  <c r="L86" i="1"/>
  <c r="L41" i="1"/>
  <c r="L68" i="1"/>
  <c r="L84" i="1"/>
  <c r="L17" i="1"/>
  <c r="L11" i="1"/>
  <c r="L75" i="1"/>
  <c r="L44" i="1"/>
  <c r="L29" i="1"/>
  <c r="L6" i="1"/>
  <c r="L70" i="1"/>
  <c r="L47" i="1"/>
  <c r="L40" i="1"/>
  <c r="L2" i="1"/>
  <c r="L27" i="1"/>
  <c r="L45" i="1"/>
  <c r="L56" i="1"/>
  <c r="L35" i="1"/>
  <c r="L7" i="1"/>
  <c r="L57" i="1"/>
  <c r="L82" i="1"/>
  <c r="L69" i="1"/>
  <c r="L80" i="1"/>
  <c r="L65" i="1"/>
  <c r="L81" i="1"/>
  <c r="L42" i="1"/>
  <c r="L25" i="1"/>
  <c r="L89" i="1"/>
  <c r="L50" i="1"/>
  <c r="L19" i="1"/>
  <c r="L83" i="1"/>
  <c r="L52" i="1"/>
  <c r="L37" i="1"/>
  <c r="L14" i="1"/>
  <c r="L78" i="1"/>
  <c r="L63" i="1"/>
  <c r="L48" i="1"/>
</calcChain>
</file>

<file path=xl/sharedStrings.xml><?xml version="1.0" encoding="utf-8"?>
<sst xmlns="http://schemas.openxmlformats.org/spreadsheetml/2006/main" count="15" uniqueCount="15">
  <si>
    <t>timestamp</t>
  </si>
  <si>
    <t>open</t>
  </si>
  <si>
    <t>high</t>
  </si>
  <si>
    <t>low</t>
  </si>
  <si>
    <t>close</t>
  </si>
  <si>
    <t>volume</t>
  </si>
  <si>
    <t>window mean</t>
  </si>
  <si>
    <t>window std</t>
  </si>
  <si>
    <t>close price average</t>
  </si>
  <si>
    <t>average window mean</t>
  </si>
  <si>
    <t>average window std</t>
  </si>
  <si>
    <t>window mean/window mean average</t>
  </si>
  <si>
    <t>window std/window std average</t>
  </si>
  <si>
    <t>first deriv. window</t>
  </si>
  <si>
    <t>second deriv. window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</si>
</sst>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4" fontId="0" fillId="0" borderId="0" xfId="0" applyNumberFormat="1"/>
    <xf numFmtId="0" fontId="0" fillId="0" borderId="0" xfId="0" applyAlignment="1">
      <alignment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3"/>
          <c:order val="3"/>
          <c:tx>
            <c:v>Rolling Mean/Average Window Mean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SPCE_cuphandle!$A$2:$A$93</c:f>
              <c:numCache>
                <c:formatCode>m/d/yyyy</c:formatCode>
                <c:ptCount val="92"/>
                <c:pt idx="0">
                  <c:v>44215</c:v>
                </c:pt>
                <c:pt idx="1">
                  <c:v>44211</c:v>
                </c:pt>
                <c:pt idx="2">
                  <c:v>44210</c:v>
                </c:pt>
                <c:pt idx="3">
                  <c:v>44209</c:v>
                </c:pt>
                <c:pt idx="4">
                  <c:v>44208</c:v>
                </c:pt>
                <c:pt idx="5">
                  <c:v>44207</c:v>
                </c:pt>
                <c:pt idx="6">
                  <c:v>44204</c:v>
                </c:pt>
                <c:pt idx="7">
                  <c:v>44203</c:v>
                </c:pt>
                <c:pt idx="8">
                  <c:v>44202</c:v>
                </c:pt>
                <c:pt idx="9">
                  <c:v>44201</c:v>
                </c:pt>
                <c:pt idx="10">
                  <c:v>44200</c:v>
                </c:pt>
                <c:pt idx="11">
                  <c:v>44196</c:v>
                </c:pt>
                <c:pt idx="12">
                  <c:v>44195</c:v>
                </c:pt>
                <c:pt idx="13">
                  <c:v>44194</c:v>
                </c:pt>
                <c:pt idx="14">
                  <c:v>44193</c:v>
                </c:pt>
                <c:pt idx="15">
                  <c:v>44189</c:v>
                </c:pt>
                <c:pt idx="16">
                  <c:v>44188</c:v>
                </c:pt>
                <c:pt idx="17">
                  <c:v>44187</c:v>
                </c:pt>
                <c:pt idx="18">
                  <c:v>44186</c:v>
                </c:pt>
                <c:pt idx="19">
                  <c:v>44183</c:v>
                </c:pt>
                <c:pt idx="20">
                  <c:v>44182</c:v>
                </c:pt>
                <c:pt idx="21">
                  <c:v>44181</c:v>
                </c:pt>
                <c:pt idx="22">
                  <c:v>44180</c:v>
                </c:pt>
                <c:pt idx="23">
                  <c:v>44179</c:v>
                </c:pt>
                <c:pt idx="24">
                  <c:v>44176</c:v>
                </c:pt>
                <c:pt idx="25">
                  <c:v>44175</c:v>
                </c:pt>
                <c:pt idx="26">
                  <c:v>44174</c:v>
                </c:pt>
                <c:pt idx="27">
                  <c:v>44173</c:v>
                </c:pt>
                <c:pt idx="28">
                  <c:v>44172</c:v>
                </c:pt>
                <c:pt idx="29">
                  <c:v>44169</c:v>
                </c:pt>
                <c:pt idx="30">
                  <c:v>44168</c:v>
                </c:pt>
                <c:pt idx="31">
                  <c:v>44167</c:v>
                </c:pt>
                <c:pt idx="32">
                  <c:v>44166</c:v>
                </c:pt>
                <c:pt idx="33">
                  <c:v>44165</c:v>
                </c:pt>
                <c:pt idx="34">
                  <c:v>44162</c:v>
                </c:pt>
                <c:pt idx="35">
                  <c:v>44160</c:v>
                </c:pt>
                <c:pt idx="36">
                  <c:v>44159</c:v>
                </c:pt>
                <c:pt idx="37">
                  <c:v>44158</c:v>
                </c:pt>
                <c:pt idx="38">
                  <c:v>44155</c:v>
                </c:pt>
                <c:pt idx="39">
                  <c:v>44154</c:v>
                </c:pt>
                <c:pt idx="40">
                  <c:v>44153</c:v>
                </c:pt>
                <c:pt idx="41">
                  <c:v>44152</c:v>
                </c:pt>
                <c:pt idx="42">
                  <c:v>44151</c:v>
                </c:pt>
                <c:pt idx="43">
                  <c:v>44148</c:v>
                </c:pt>
                <c:pt idx="44">
                  <c:v>44147</c:v>
                </c:pt>
                <c:pt idx="45">
                  <c:v>44146</c:v>
                </c:pt>
                <c:pt idx="46">
                  <c:v>44145</c:v>
                </c:pt>
                <c:pt idx="47">
                  <c:v>44144</c:v>
                </c:pt>
                <c:pt idx="48">
                  <c:v>44141</c:v>
                </c:pt>
                <c:pt idx="49">
                  <c:v>44140</c:v>
                </c:pt>
                <c:pt idx="50">
                  <c:v>44139</c:v>
                </c:pt>
                <c:pt idx="51">
                  <c:v>44138</c:v>
                </c:pt>
                <c:pt idx="52">
                  <c:v>44137</c:v>
                </c:pt>
                <c:pt idx="53">
                  <c:v>44134</c:v>
                </c:pt>
                <c:pt idx="54">
                  <c:v>44133</c:v>
                </c:pt>
                <c:pt idx="55">
                  <c:v>44132</c:v>
                </c:pt>
                <c:pt idx="56">
                  <c:v>44131</c:v>
                </c:pt>
                <c:pt idx="57">
                  <c:v>44130</c:v>
                </c:pt>
                <c:pt idx="58">
                  <c:v>44127</c:v>
                </c:pt>
                <c:pt idx="59">
                  <c:v>44126</c:v>
                </c:pt>
                <c:pt idx="60">
                  <c:v>44125</c:v>
                </c:pt>
                <c:pt idx="61">
                  <c:v>44124</c:v>
                </c:pt>
                <c:pt idx="62">
                  <c:v>44123</c:v>
                </c:pt>
                <c:pt idx="63">
                  <c:v>44120</c:v>
                </c:pt>
                <c:pt idx="64">
                  <c:v>44119</c:v>
                </c:pt>
                <c:pt idx="65">
                  <c:v>44118</c:v>
                </c:pt>
                <c:pt idx="66">
                  <c:v>44117</c:v>
                </c:pt>
                <c:pt idx="67">
                  <c:v>44116</c:v>
                </c:pt>
                <c:pt idx="68">
                  <c:v>44113</c:v>
                </c:pt>
                <c:pt idx="69">
                  <c:v>44112</c:v>
                </c:pt>
                <c:pt idx="70">
                  <c:v>44111</c:v>
                </c:pt>
                <c:pt idx="71">
                  <c:v>44110</c:v>
                </c:pt>
                <c:pt idx="72">
                  <c:v>44109</c:v>
                </c:pt>
                <c:pt idx="73">
                  <c:v>44106</c:v>
                </c:pt>
                <c:pt idx="74">
                  <c:v>44105</c:v>
                </c:pt>
                <c:pt idx="75">
                  <c:v>44104</c:v>
                </c:pt>
                <c:pt idx="76">
                  <c:v>44103</c:v>
                </c:pt>
                <c:pt idx="77">
                  <c:v>44102</c:v>
                </c:pt>
                <c:pt idx="78">
                  <c:v>44099</c:v>
                </c:pt>
                <c:pt idx="79">
                  <c:v>44098</c:v>
                </c:pt>
                <c:pt idx="80">
                  <c:v>44097</c:v>
                </c:pt>
                <c:pt idx="81">
                  <c:v>44096</c:v>
                </c:pt>
                <c:pt idx="82">
                  <c:v>44095</c:v>
                </c:pt>
                <c:pt idx="83">
                  <c:v>44092</c:v>
                </c:pt>
                <c:pt idx="84">
                  <c:v>44091</c:v>
                </c:pt>
                <c:pt idx="85">
                  <c:v>44090</c:v>
                </c:pt>
                <c:pt idx="86">
                  <c:v>44089</c:v>
                </c:pt>
                <c:pt idx="87">
                  <c:v>44088</c:v>
                </c:pt>
                <c:pt idx="88">
                  <c:v>44085</c:v>
                </c:pt>
                <c:pt idx="89">
                  <c:v>44084</c:v>
                </c:pt>
                <c:pt idx="90">
                  <c:v>44083</c:v>
                </c:pt>
                <c:pt idx="91">
                  <c:v>44082</c:v>
                </c:pt>
              </c:numCache>
              <c:extLst xmlns:c15="http://schemas.microsoft.com/office/drawing/2012/chart"/>
            </c:numRef>
          </c:xVal>
          <c:yVal>
            <c:numRef>
              <c:f>SPCE_cuphandle!$L$2:$L$91</c:f>
              <c:numCache>
                <c:formatCode>General</c:formatCode>
                <c:ptCount val="90"/>
                <c:pt idx="0">
                  <c:v>1.399140564599042</c:v>
                </c:pt>
                <c:pt idx="1">
                  <c:v>1.3389735484155694</c:v>
                </c:pt>
                <c:pt idx="2">
                  <c:v>1.2835139760410725</c:v>
                </c:pt>
                <c:pt idx="3">
                  <c:v>1.1642096970073408</c:v>
                </c:pt>
                <c:pt idx="4">
                  <c:v>1.1297865141542047</c:v>
                </c:pt>
                <c:pt idx="5">
                  <c:v>1.1072790484425392</c:v>
                </c:pt>
                <c:pt idx="6">
                  <c:v>1.0962459770152519</c:v>
                </c:pt>
                <c:pt idx="7">
                  <c:v>1.0800641389218975</c:v>
                </c:pt>
                <c:pt idx="8">
                  <c:v>1.0518194760680424</c:v>
                </c:pt>
                <c:pt idx="9">
                  <c:v>1.0453467408307007</c:v>
                </c:pt>
                <c:pt idx="10">
                  <c:v>1.0437285570213652</c:v>
                </c:pt>
                <c:pt idx="11">
                  <c:v>1.0516723684490119</c:v>
                </c:pt>
                <c:pt idx="12">
                  <c:v>1.0547616284486523</c:v>
                </c:pt>
                <c:pt idx="13">
                  <c:v>1.0818294303502634</c:v>
                </c:pt>
                <c:pt idx="14">
                  <c:v>1.1269914693926257</c:v>
                </c:pt>
                <c:pt idx="15">
                  <c:v>1.1494989351042912</c:v>
                </c:pt>
                <c:pt idx="16">
                  <c:v>1.1340526351060893</c:v>
                </c:pt>
                <c:pt idx="17">
                  <c:v>1.0902145646350017</c:v>
                </c:pt>
                <c:pt idx="18">
                  <c:v>1.0906558874920933</c:v>
                </c:pt>
                <c:pt idx="19">
                  <c:v>1.1062492951093257</c:v>
                </c:pt>
                <c:pt idx="20">
                  <c:v>1.1161055055843689</c:v>
                </c:pt>
                <c:pt idx="21">
                  <c:v>1.1303749446303268</c:v>
                </c:pt>
                <c:pt idx="22">
                  <c:v>1.2212874531911733</c:v>
                </c:pt>
                <c:pt idx="23">
                  <c:v>1.3341189969875631</c:v>
                </c:pt>
                <c:pt idx="24">
                  <c:v>1.4173819093588236</c:v>
                </c:pt>
                <c:pt idx="25">
                  <c:v>1.4372414379279406</c:v>
                </c:pt>
                <c:pt idx="26">
                  <c:v>1.4610728722108808</c:v>
                </c:pt>
                <c:pt idx="27">
                  <c:v>1.4112033893595426</c:v>
                </c:pt>
                <c:pt idx="28">
                  <c:v>1.3330892436543496</c:v>
                </c:pt>
                <c:pt idx="29">
                  <c:v>1.2408527665222289</c:v>
                </c:pt>
                <c:pt idx="30">
                  <c:v>1.2351155693800397</c:v>
                </c:pt>
                <c:pt idx="31">
                  <c:v>1.2134907493825569</c:v>
                </c:pt>
                <c:pt idx="32">
                  <c:v>1.2081948750974589</c:v>
                </c:pt>
                <c:pt idx="33">
                  <c:v>1.1898064227186469</c:v>
                </c:pt>
                <c:pt idx="34">
                  <c:v>1.1655336655786153</c:v>
                </c:pt>
                <c:pt idx="35">
                  <c:v>1.1322873436777234</c:v>
                </c:pt>
                <c:pt idx="36">
                  <c:v>1.0765335560651657</c:v>
                </c:pt>
                <c:pt idx="37">
                  <c:v>1.0631467627333906</c:v>
                </c:pt>
                <c:pt idx="38">
                  <c:v>1.0290177951183155</c:v>
                </c:pt>
                <c:pt idx="39">
                  <c:v>1.0001847017883387</c:v>
                </c:pt>
                <c:pt idx="40">
                  <c:v>0.95369869417470188</c:v>
                </c:pt>
                <c:pt idx="41">
                  <c:v>0.94899125036572607</c:v>
                </c:pt>
                <c:pt idx="42">
                  <c:v>0.9529631560795494</c:v>
                </c:pt>
                <c:pt idx="43">
                  <c:v>0.96840945607775131</c:v>
                </c:pt>
                <c:pt idx="44">
                  <c:v>0.94193008465226225</c:v>
                </c:pt>
                <c:pt idx="45">
                  <c:v>0.92471849322569433</c:v>
                </c:pt>
                <c:pt idx="46">
                  <c:v>0.88191017608782019</c:v>
                </c:pt>
                <c:pt idx="47">
                  <c:v>0.86278618561385578</c:v>
                </c:pt>
                <c:pt idx="48">
                  <c:v>0.82718614180847594</c:v>
                </c:pt>
                <c:pt idx="49">
                  <c:v>0.81865389990470716</c:v>
                </c:pt>
                <c:pt idx="50">
                  <c:v>0.79644064943110227</c:v>
                </c:pt>
                <c:pt idx="51">
                  <c:v>0.78746708467024207</c:v>
                </c:pt>
                <c:pt idx="52">
                  <c:v>0.78349517895641874</c:v>
                </c:pt>
                <c:pt idx="53">
                  <c:v>0.78084724181386966</c:v>
                </c:pt>
                <c:pt idx="54">
                  <c:v>0.79364560466952272</c:v>
                </c:pt>
                <c:pt idx="55">
                  <c:v>0.79570511133594968</c:v>
                </c:pt>
                <c:pt idx="56">
                  <c:v>0.820124976095012</c:v>
                </c:pt>
                <c:pt idx="57">
                  <c:v>0.85601923513845279</c:v>
                </c:pt>
                <c:pt idx="58">
                  <c:v>0.887206050372918</c:v>
                </c:pt>
                <c:pt idx="59">
                  <c:v>0.94443091417578073</c:v>
                </c:pt>
                <c:pt idx="60">
                  <c:v>0.97517640655315407</c:v>
                </c:pt>
                <c:pt idx="61">
                  <c:v>1.0045979303592534</c:v>
                </c:pt>
                <c:pt idx="62">
                  <c:v>0.98414997131401449</c:v>
                </c:pt>
                <c:pt idx="63">
                  <c:v>0.96223093607847054</c:v>
                </c:pt>
                <c:pt idx="64">
                  <c:v>0.9529631560795494</c:v>
                </c:pt>
                <c:pt idx="65">
                  <c:v>0.93722264084328644</c:v>
                </c:pt>
                <c:pt idx="66">
                  <c:v>0.93825239417649975</c:v>
                </c:pt>
                <c:pt idx="67">
                  <c:v>0.94237140750935378</c:v>
                </c:pt>
                <c:pt idx="68">
                  <c:v>0.9607598598881657</c:v>
                </c:pt>
                <c:pt idx="69">
                  <c:v>0.9553168779840373</c:v>
                </c:pt>
                <c:pt idx="70">
                  <c:v>0.93942925512874376</c:v>
                </c:pt>
                <c:pt idx="71">
                  <c:v>0.92398295513054185</c:v>
                </c:pt>
                <c:pt idx="72">
                  <c:v>0.91133169989391927</c:v>
                </c:pt>
                <c:pt idx="73">
                  <c:v>0.88514654370649115</c:v>
                </c:pt>
                <c:pt idx="74">
                  <c:v>0.88029199227848476</c:v>
                </c:pt>
                <c:pt idx="75">
                  <c:v>0.88529365132552162</c:v>
                </c:pt>
                <c:pt idx="76">
                  <c:v>0.84410351799698291</c:v>
                </c:pt>
                <c:pt idx="77">
                  <c:v>0.77761087419519892</c:v>
                </c:pt>
                <c:pt idx="78">
                  <c:v>0.70729343229862207</c:v>
                </c:pt>
                <c:pt idx="79">
                  <c:v>0.70788186277474396</c:v>
                </c:pt>
                <c:pt idx="80">
                  <c:v>0.71611988944045191</c:v>
                </c:pt>
                <c:pt idx="81">
                  <c:v>0.73789181705696516</c:v>
                </c:pt>
                <c:pt idx="82">
                  <c:v>0.74833645800813031</c:v>
                </c:pt>
                <c:pt idx="83">
                  <c:v>0.76201746657796632</c:v>
                </c:pt>
                <c:pt idx="84">
                  <c:v>0.76922573991046073</c:v>
                </c:pt>
                <c:pt idx="85">
                  <c:v>0.772314999910101</c:v>
                </c:pt>
                <c:pt idx="86">
                  <c:v>0.759810852292509</c:v>
                </c:pt>
                <c:pt idx="87">
                  <c:v>0.75613316181674661</c:v>
                </c:pt>
                <c:pt idx="88">
                  <c:v>0.76084060562572231</c:v>
                </c:pt>
                <c:pt idx="89">
                  <c:v>0.77319764562428395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A0D3-4A67-8356-52C2ACC103A2}"/>
            </c:ext>
          </c:extLst>
        </c:ser>
        <c:ser>
          <c:idx val="4"/>
          <c:order val="4"/>
          <c:tx>
            <c:v>Rolling Std/Average Window Std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SPCE_cuphandle!$A$2:$A$93</c:f>
              <c:numCache>
                <c:formatCode>m/d/yyyy</c:formatCode>
                <c:ptCount val="92"/>
                <c:pt idx="0">
                  <c:v>44215</c:v>
                </c:pt>
                <c:pt idx="1">
                  <c:v>44211</c:v>
                </c:pt>
                <c:pt idx="2">
                  <c:v>44210</c:v>
                </c:pt>
                <c:pt idx="3">
                  <c:v>44209</c:v>
                </c:pt>
                <c:pt idx="4">
                  <c:v>44208</c:v>
                </c:pt>
                <c:pt idx="5">
                  <c:v>44207</c:v>
                </c:pt>
                <c:pt idx="6">
                  <c:v>44204</c:v>
                </c:pt>
                <c:pt idx="7">
                  <c:v>44203</c:v>
                </c:pt>
                <c:pt idx="8">
                  <c:v>44202</c:v>
                </c:pt>
                <c:pt idx="9">
                  <c:v>44201</c:v>
                </c:pt>
                <c:pt idx="10">
                  <c:v>44200</c:v>
                </c:pt>
                <c:pt idx="11">
                  <c:v>44196</c:v>
                </c:pt>
                <c:pt idx="12">
                  <c:v>44195</c:v>
                </c:pt>
                <c:pt idx="13">
                  <c:v>44194</c:v>
                </c:pt>
                <c:pt idx="14">
                  <c:v>44193</c:v>
                </c:pt>
                <c:pt idx="15">
                  <c:v>44189</c:v>
                </c:pt>
                <c:pt idx="16">
                  <c:v>44188</c:v>
                </c:pt>
                <c:pt idx="17">
                  <c:v>44187</c:v>
                </c:pt>
                <c:pt idx="18">
                  <c:v>44186</c:v>
                </c:pt>
                <c:pt idx="19">
                  <c:v>44183</c:v>
                </c:pt>
                <c:pt idx="20">
                  <c:v>44182</c:v>
                </c:pt>
                <c:pt idx="21">
                  <c:v>44181</c:v>
                </c:pt>
                <c:pt idx="22">
                  <c:v>44180</c:v>
                </c:pt>
                <c:pt idx="23">
                  <c:v>44179</c:v>
                </c:pt>
                <c:pt idx="24">
                  <c:v>44176</c:v>
                </c:pt>
                <c:pt idx="25">
                  <c:v>44175</c:v>
                </c:pt>
                <c:pt idx="26">
                  <c:v>44174</c:v>
                </c:pt>
                <c:pt idx="27">
                  <c:v>44173</c:v>
                </c:pt>
                <c:pt idx="28">
                  <c:v>44172</c:v>
                </c:pt>
                <c:pt idx="29">
                  <c:v>44169</c:v>
                </c:pt>
                <c:pt idx="30">
                  <c:v>44168</c:v>
                </c:pt>
                <c:pt idx="31">
                  <c:v>44167</c:v>
                </c:pt>
                <c:pt idx="32">
                  <c:v>44166</c:v>
                </c:pt>
                <c:pt idx="33">
                  <c:v>44165</c:v>
                </c:pt>
                <c:pt idx="34">
                  <c:v>44162</c:v>
                </c:pt>
                <c:pt idx="35">
                  <c:v>44160</c:v>
                </c:pt>
                <c:pt idx="36">
                  <c:v>44159</c:v>
                </c:pt>
                <c:pt idx="37">
                  <c:v>44158</c:v>
                </c:pt>
                <c:pt idx="38">
                  <c:v>44155</c:v>
                </c:pt>
                <c:pt idx="39">
                  <c:v>44154</c:v>
                </c:pt>
                <c:pt idx="40">
                  <c:v>44153</c:v>
                </c:pt>
                <c:pt idx="41">
                  <c:v>44152</c:v>
                </c:pt>
                <c:pt idx="42">
                  <c:v>44151</c:v>
                </c:pt>
                <c:pt idx="43">
                  <c:v>44148</c:v>
                </c:pt>
                <c:pt idx="44">
                  <c:v>44147</c:v>
                </c:pt>
                <c:pt idx="45">
                  <c:v>44146</c:v>
                </c:pt>
                <c:pt idx="46">
                  <c:v>44145</c:v>
                </c:pt>
                <c:pt idx="47">
                  <c:v>44144</c:v>
                </c:pt>
                <c:pt idx="48">
                  <c:v>44141</c:v>
                </c:pt>
                <c:pt idx="49">
                  <c:v>44140</c:v>
                </c:pt>
                <c:pt idx="50">
                  <c:v>44139</c:v>
                </c:pt>
                <c:pt idx="51">
                  <c:v>44138</c:v>
                </c:pt>
                <c:pt idx="52">
                  <c:v>44137</c:v>
                </c:pt>
                <c:pt idx="53">
                  <c:v>44134</c:v>
                </c:pt>
                <c:pt idx="54">
                  <c:v>44133</c:v>
                </c:pt>
                <c:pt idx="55">
                  <c:v>44132</c:v>
                </c:pt>
                <c:pt idx="56">
                  <c:v>44131</c:v>
                </c:pt>
                <c:pt idx="57">
                  <c:v>44130</c:v>
                </c:pt>
                <c:pt idx="58">
                  <c:v>44127</c:v>
                </c:pt>
                <c:pt idx="59">
                  <c:v>44126</c:v>
                </c:pt>
                <c:pt idx="60">
                  <c:v>44125</c:v>
                </c:pt>
                <c:pt idx="61">
                  <c:v>44124</c:v>
                </c:pt>
                <c:pt idx="62">
                  <c:v>44123</c:v>
                </c:pt>
                <c:pt idx="63">
                  <c:v>44120</c:v>
                </c:pt>
                <c:pt idx="64">
                  <c:v>44119</c:v>
                </c:pt>
                <c:pt idx="65">
                  <c:v>44118</c:v>
                </c:pt>
                <c:pt idx="66">
                  <c:v>44117</c:v>
                </c:pt>
                <c:pt idx="67">
                  <c:v>44116</c:v>
                </c:pt>
                <c:pt idx="68">
                  <c:v>44113</c:v>
                </c:pt>
                <c:pt idx="69">
                  <c:v>44112</c:v>
                </c:pt>
                <c:pt idx="70">
                  <c:v>44111</c:v>
                </c:pt>
                <c:pt idx="71">
                  <c:v>44110</c:v>
                </c:pt>
                <c:pt idx="72">
                  <c:v>44109</c:v>
                </c:pt>
                <c:pt idx="73">
                  <c:v>44106</c:v>
                </c:pt>
                <c:pt idx="74">
                  <c:v>44105</c:v>
                </c:pt>
                <c:pt idx="75">
                  <c:v>44104</c:v>
                </c:pt>
                <c:pt idx="76">
                  <c:v>44103</c:v>
                </c:pt>
                <c:pt idx="77">
                  <c:v>44102</c:v>
                </c:pt>
                <c:pt idx="78">
                  <c:v>44099</c:v>
                </c:pt>
                <c:pt idx="79">
                  <c:v>44098</c:v>
                </c:pt>
                <c:pt idx="80">
                  <c:v>44097</c:v>
                </c:pt>
                <c:pt idx="81">
                  <c:v>44096</c:v>
                </c:pt>
                <c:pt idx="82">
                  <c:v>44095</c:v>
                </c:pt>
                <c:pt idx="83">
                  <c:v>44092</c:v>
                </c:pt>
                <c:pt idx="84">
                  <c:v>44091</c:v>
                </c:pt>
                <c:pt idx="85">
                  <c:v>44090</c:v>
                </c:pt>
                <c:pt idx="86">
                  <c:v>44089</c:v>
                </c:pt>
                <c:pt idx="87">
                  <c:v>44088</c:v>
                </c:pt>
                <c:pt idx="88">
                  <c:v>44085</c:v>
                </c:pt>
                <c:pt idx="89">
                  <c:v>44084</c:v>
                </c:pt>
                <c:pt idx="90">
                  <c:v>44083</c:v>
                </c:pt>
                <c:pt idx="91">
                  <c:v>44082</c:v>
                </c:pt>
              </c:numCache>
              <c:extLst xmlns:c15="http://schemas.microsoft.com/office/drawing/2012/chart"/>
            </c:numRef>
          </c:xVal>
          <c:yVal>
            <c:numRef>
              <c:f>SPCE_cuphandle!$M$2:$M$91</c:f>
              <c:numCache>
                <c:formatCode>General</c:formatCode>
                <c:ptCount val="90"/>
                <c:pt idx="0">
                  <c:v>1.5028270483152313</c:v>
                </c:pt>
                <c:pt idx="1">
                  <c:v>3.1610060423674984</c:v>
                </c:pt>
                <c:pt idx="2">
                  <c:v>3.9827643065269545</c:v>
                </c:pt>
                <c:pt idx="3">
                  <c:v>1.5505032532467564</c:v>
                </c:pt>
                <c:pt idx="4">
                  <c:v>1.0746077492494033</c:v>
                </c:pt>
                <c:pt idx="5">
                  <c:v>0.17785492085614743</c:v>
                </c:pt>
                <c:pt idx="6">
                  <c:v>0.67235604052617948</c:v>
                </c:pt>
                <c:pt idx="7">
                  <c:v>0.65763748055534821</c:v>
                </c:pt>
                <c:pt idx="8">
                  <c:v>0.62432097430455857</c:v>
                </c:pt>
                <c:pt idx="9">
                  <c:v>0.52744271667330156</c:v>
                </c:pt>
                <c:pt idx="10">
                  <c:v>0.46899727174490669</c:v>
                </c:pt>
                <c:pt idx="11">
                  <c:v>0.18046235720193615</c:v>
                </c:pt>
                <c:pt idx="12">
                  <c:v>0.15542862323167264</c:v>
                </c:pt>
                <c:pt idx="13">
                  <c:v>1.3418471653268003</c:v>
                </c:pt>
                <c:pt idx="14">
                  <c:v>1.6929001087663891</c:v>
                </c:pt>
                <c:pt idx="15">
                  <c:v>0.80426348901996281</c:v>
                </c:pt>
                <c:pt idx="16">
                  <c:v>1.1886787391716129</c:v>
                </c:pt>
                <c:pt idx="17">
                  <c:v>0.94651711285139772</c:v>
                </c:pt>
                <c:pt idx="18">
                  <c:v>0.96280482865550765</c:v>
                </c:pt>
                <c:pt idx="19">
                  <c:v>1.2447878859587229</c:v>
                </c:pt>
                <c:pt idx="20">
                  <c:v>0.80763081716320573</c:v>
                </c:pt>
                <c:pt idx="21">
                  <c:v>1.1587717475719692</c:v>
                </c:pt>
                <c:pt idx="22">
                  <c:v>4.513220258438623</c:v>
                </c:pt>
                <c:pt idx="23">
                  <c:v>3.762794626850642</c:v>
                </c:pt>
                <c:pt idx="24">
                  <c:v>8.1963323276735514E-2</c:v>
                </c:pt>
                <c:pt idx="25">
                  <c:v>0.82426113710246041</c:v>
                </c:pt>
                <c:pt idx="26">
                  <c:v>1.005457966613464</c:v>
                </c:pt>
                <c:pt idx="27">
                  <c:v>3.2469730645039672</c:v>
                </c:pt>
                <c:pt idx="28">
                  <c:v>3.6153313877086912</c:v>
                </c:pt>
                <c:pt idx="29">
                  <c:v>0.69991365521500093</c:v>
                </c:pt>
                <c:pt idx="30">
                  <c:v>0.4827866856054765</c:v>
                </c:pt>
                <c:pt idx="31">
                  <c:v>1.0056570650125665</c:v>
                </c:pt>
                <c:pt idx="32">
                  <c:v>1.026152400894925</c:v>
                </c:pt>
                <c:pt idx="33">
                  <c:v>0.35250603217466586</c:v>
                </c:pt>
                <c:pt idx="34">
                  <c:v>1.451305939337469</c:v>
                </c:pt>
                <c:pt idx="35">
                  <c:v>1.4443612638271717</c:v>
                </c:pt>
                <c:pt idx="36">
                  <c:v>1.0842728500931618</c:v>
                </c:pt>
                <c:pt idx="37">
                  <c:v>0.92509954957545193</c:v>
                </c:pt>
                <c:pt idx="38">
                  <c:v>0.84338943250769738</c:v>
                </c:pt>
                <c:pt idx="39">
                  <c:v>1.561368860974615</c:v>
                </c:pt>
                <c:pt idx="40">
                  <c:v>1.0158688307219621</c:v>
                </c:pt>
                <c:pt idx="41">
                  <c:v>0.8117792330395468</c:v>
                </c:pt>
                <c:pt idx="42">
                  <c:v>0.7975977467068931</c:v>
                </c:pt>
                <c:pt idx="43">
                  <c:v>0.37548466501586286</c:v>
                </c:pt>
                <c:pt idx="44">
                  <c:v>0.89311856889719865</c:v>
                </c:pt>
                <c:pt idx="45">
                  <c:v>0.98723953642623341</c:v>
                </c:pt>
                <c:pt idx="46">
                  <c:v>0.95389149662449579</c:v>
                </c:pt>
                <c:pt idx="47">
                  <c:v>0.90408508307435531</c:v>
                </c:pt>
                <c:pt idx="48">
                  <c:v>0.71826580084560776</c:v>
                </c:pt>
                <c:pt idx="49">
                  <c:v>0.66607359937536847</c:v>
                </c:pt>
                <c:pt idx="50">
                  <c:v>0.45664484787964993</c:v>
                </c:pt>
                <c:pt idx="51">
                  <c:v>0.62260835210657228</c:v>
                </c:pt>
                <c:pt idx="52">
                  <c:v>0.44883249762597777</c:v>
                </c:pt>
                <c:pt idx="53">
                  <c:v>0.48814783721687405</c:v>
                </c:pt>
                <c:pt idx="54">
                  <c:v>0.50758393443923433</c:v>
                </c:pt>
                <c:pt idx="55">
                  <c:v>0.55055445314872598</c:v>
                </c:pt>
                <c:pt idx="56">
                  <c:v>0.55722126833343855</c:v>
                </c:pt>
                <c:pt idx="57">
                  <c:v>1.4156136425454606</c:v>
                </c:pt>
                <c:pt idx="58">
                  <c:v>0.97827596915303572</c:v>
                </c:pt>
                <c:pt idx="59">
                  <c:v>1.6394157296920264</c:v>
                </c:pt>
                <c:pt idx="60">
                  <c:v>1.6619480059511162</c:v>
                </c:pt>
                <c:pt idx="61">
                  <c:v>0.34549472553037824</c:v>
                </c:pt>
                <c:pt idx="62">
                  <c:v>0.69586557452982511</c:v>
                </c:pt>
                <c:pt idx="63">
                  <c:v>0.66168410358759144</c:v>
                </c:pt>
                <c:pt idx="64">
                  <c:v>0.281173766902093</c:v>
                </c:pt>
                <c:pt idx="65">
                  <c:v>0.72234232707535362</c:v>
                </c:pt>
                <c:pt idx="66">
                  <c:v>0.72984825928602537</c:v>
                </c:pt>
                <c:pt idx="67">
                  <c:v>0.87926236778681965</c:v>
                </c:pt>
                <c:pt idx="68">
                  <c:v>0.40170280386042967</c:v>
                </c:pt>
                <c:pt idx="69">
                  <c:v>0.63639001462795308</c:v>
                </c:pt>
                <c:pt idx="70">
                  <c:v>0.53373150156081983</c:v>
                </c:pt>
                <c:pt idx="71">
                  <c:v>0.16715174205532962</c:v>
                </c:pt>
                <c:pt idx="72">
                  <c:v>0.49985568388924201</c:v>
                </c:pt>
                <c:pt idx="73">
                  <c:v>0.89677243744882085</c:v>
                </c:pt>
                <c:pt idx="74">
                  <c:v>0.73379982178471426</c:v>
                </c:pt>
                <c:pt idx="75">
                  <c:v>0.83140889803380069</c:v>
                </c:pt>
                <c:pt idx="76">
                  <c:v>2.6983506050312558</c:v>
                </c:pt>
                <c:pt idx="77">
                  <c:v>2.9064488979089806</c:v>
                </c:pt>
                <c:pt idx="78">
                  <c:v>0.41819863140173602</c:v>
                </c:pt>
                <c:pt idx="79">
                  <c:v>0.44399896763596525</c:v>
                </c:pt>
                <c:pt idx="80">
                  <c:v>0.49695458170960083</c:v>
                </c:pt>
                <c:pt idx="81">
                  <c:v>0.4902849578024317</c:v>
                </c:pt>
                <c:pt idx="82">
                  <c:v>0.47722550926013679</c:v>
                </c:pt>
                <c:pt idx="83">
                  <c:v>0.14444998685453808</c:v>
                </c:pt>
                <c:pt idx="84">
                  <c:v>0.30104165979276298</c:v>
                </c:pt>
                <c:pt idx="85">
                  <c:v>0.20043564615024412</c:v>
                </c:pt>
                <c:pt idx="86">
                  <c:v>0.68096917618988939</c:v>
                </c:pt>
                <c:pt idx="87">
                  <c:v>0.57467302980706036</c:v>
                </c:pt>
                <c:pt idx="88">
                  <c:v>0.69672815872858418</c:v>
                </c:pt>
                <c:pt idx="89">
                  <c:v>0.19227888594973716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A0D3-4A67-8356-52C2ACC10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201823"/>
        <c:axId val="748202239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Data</c:v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SPCE_cuphandle!$A$2:$A$93</c15:sqref>
                        </c15:formulaRef>
                      </c:ext>
                    </c:extLst>
                    <c:numCache>
                      <c:formatCode>m/d/yyyy</c:formatCode>
                      <c:ptCount val="92"/>
                      <c:pt idx="0">
                        <c:v>44215</c:v>
                      </c:pt>
                      <c:pt idx="1">
                        <c:v>44211</c:v>
                      </c:pt>
                      <c:pt idx="2">
                        <c:v>44210</c:v>
                      </c:pt>
                      <c:pt idx="3">
                        <c:v>44209</c:v>
                      </c:pt>
                      <c:pt idx="4">
                        <c:v>44208</c:v>
                      </c:pt>
                      <c:pt idx="5">
                        <c:v>44207</c:v>
                      </c:pt>
                      <c:pt idx="6">
                        <c:v>44204</c:v>
                      </c:pt>
                      <c:pt idx="7">
                        <c:v>44203</c:v>
                      </c:pt>
                      <c:pt idx="8">
                        <c:v>44202</c:v>
                      </c:pt>
                      <c:pt idx="9">
                        <c:v>44201</c:v>
                      </c:pt>
                      <c:pt idx="10">
                        <c:v>44200</c:v>
                      </c:pt>
                      <c:pt idx="11">
                        <c:v>44196</c:v>
                      </c:pt>
                      <c:pt idx="12">
                        <c:v>44195</c:v>
                      </c:pt>
                      <c:pt idx="13">
                        <c:v>44194</c:v>
                      </c:pt>
                      <c:pt idx="14">
                        <c:v>44193</c:v>
                      </c:pt>
                      <c:pt idx="15">
                        <c:v>44189</c:v>
                      </c:pt>
                      <c:pt idx="16">
                        <c:v>44188</c:v>
                      </c:pt>
                      <c:pt idx="17">
                        <c:v>44187</c:v>
                      </c:pt>
                      <c:pt idx="18">
                        <c:v>44186</c:v>
                      </c:pt>
                      <c:pt idx="19">
                        <c:v>44183</c:v>
                      </c:pt>
                      <c:pt idx="20">
                        <c:v>44182</c:v>
                      </c:pt>
                      <c:pt idx="21">
                        <c:v>44181</c:v>
                      </c:pt>
                      <c:pt idx="22">
                        <c:v>44180</c:v>
                      </c:pt>
                      <c:pt idx="23">
                        <c:v>44179</c:v>
                      </c:pt>
                      <c:pt idx="24">
                        <c:v>44176</c:v>
                      </c:pt>
                      <c:pt idx="25">
                        <c:v>44175</c:v>
                      </c:pt>
                      <c:pt idx="26">
                        <c:v>44174</c:v>
                      </c:pt>
                      <c:pt idx="27">
                        <c:v>44173</c:v>
                      </c:pt>
                      <c:pt idx="28">
                        <c:v>44172</c:v>
                      </c:pt>
                      <c:pt idx="29">
                        <c:v>44169</c:v>
                      </c:pt>
                      <c:pt idx="30">
                        <c:v>44168</c:v>
                      </c:pt>
                      <c:pt idx="31">
                        <c:v>44167</c:v>
                      </c:pt>
                      <c:pt idx="32">
                        <c:v>44166</c:v>
                      </c:pt>
                      <c:pt idx="33">
                        <c:v>44165</c:v>
                      </c:pt>
                      <c:pt idx="34">
                        <c:v>44162</c:v>
                      </c:pt>
                      <c:pt idx="35">
                        <c:v>44160</c:v>
                      </c:pt>
                      <c:pt idx="36">
                        <c:v>44159</c:v>
                      </c:pt>
                      <c:pt idx="37">
                        <c:v>44158</c:v>
                      </c:pt>
                      <c:pt idx="38">
                        <c:v>44155</c:v>
                      </c:pt>
                      <c:pt idx="39">
                        <c:v>44154</c:v>
                      </c:pt>
                      <c:pt idx="40">
                        <c:v>44153</c:v>
                      </c:pt>
                      <c:pt idx="41">
                        <c:v>44152</c:v>
                      </c:pt>
                      <c:pt idx="42">
                        <c:v>44151</c:v>
                      </c:pt>
                      <c:pt idx="43">
                        <c:v>44148</c:v>
                      </c:pt>
                      <c:pt idx="44">
                        <c:v>44147</c:v>
                      </c:pt>
                      <c:pt idx="45">
                        <c:v>44146</c:v>
                      </c:pt>
                      <c:pt idx="46">
                        <c:v>44145</c:v>
                      </c:pt>
                      <c:pt idx="47">
                        <c:v>44144</c:v>
                      </c:pt>
                      <c:pt idx="48">
                        <c:v>44141</c:v>
                      </c:pt>
                      <c:pt idx="49">
                        <c:v>44140</c:v>
                      </c:pt>
                      <c:pt idx="50">
                        <c:v>44139</c:v>
                      </c:pt>
                      <c:pt idx="51">
                        <c:v>44138</c:v>
                      </c:pt>
                      <c:pt idx="52">
                        <c:v>44137</c:v>
                      </c:pt>
                      <c:pt idx="53">
                        <c:v>44134</c:v>
                      </c:pt>
                      <c:pt idx="54">
                        <c:v>44133</c:v>
                      </c:pt>
                      <c:pt idx="55">
                        <c:v>44132</c:v>
                      </c:pt>
                      <c:pt idx="56">
                        <c:v>44131</c:v>
                      </c:pt>
                      <c:pt idx="57">
                        <c:v>44130</c:v>
                      </c:pt>
                      <c:pt idx="58">
                        <c:v>44127</c:v>
                      </c:pt>
                      <c:pt idx="59">
                        <c:v>44126</c:v>
                      </c:pt>
                      <c:pt idx="60">
                        <c:v>44125</c:v>
                      </c:pt>
                      <c:pt idx="61">
                        <c:v>44124</c:v>
                      </c:pt>
                      <c:pt idx="62">
                        <c:v>44123</c:v>
                      </c:pt>
                      <c:pt idx="63">
                        <c:v>44120</c:v>
                      </c:pt>
                      <c:pt idx="64">
                        <c:v>44119</c:v>
                      </c:pt>
                      <c:pt idx="65">
                        <c:v>44118</c:v>
                      </c:pt>
                      <c:pt idx="66">
                        <c:v>44117</c:v>
                      </c:pt>
                      <c:pt idx="67">
                        <c:v>44116</c:v>
                      </c:pt>
                      <c:pt idx="68">
                        <c:v>44113</c:v>
                      </c:pt>
                      <c:pt idx="69">
                        <c:v>44112</c:v>
                      </c:pt>
                      <c:pt idx="70">
                        <c:v>44111</c:v>
                      </c:pt>
                      <c:pt idx="71">
                        <c:v>44110</c:v>
                      </c:pt>
                      <c:pt idx="72">
                        <c:v>44109</c:v>
                      </c:pt>
                      <c:pt idx="73">
                        <c:v>44106</c:v>
                      </c:pt>
                      <c:pt idx="74">
                        <c:v>44105</c:v>
                      </c:pt>
                      <c:pt idx="75">
                        <c:v>44104</c:v>
                      </c:pt>
                      <c:pt idx="76">
                        <c:v>44103</c:v>
                      </c:pt>
                      <c:pt idx="77">
                        <c:v>44102</c:v>
                      </c:pt>
                      <c:pt idx="78">
                        <c:v>44099</c:v>
                      </c:pt>
                      <c:pt idx="79">
                        <c:v>44098</c:v>
                      </c:pt>
                      <c:pt idx="80">
                        <c:v>44097</c:v>
                      </c:pt>
                      <c:pt idx="81">
                        <c:v>44096</c:v>
                      </c:pt>
                      <c:pt idx="82">
                        <c:v>44095</c:v>
                      </c:pt>
                      <c:pt idx="83">
                        <c:v>44092</c:v>
                      </c:pt>
                      <c:pt idx="84">
                        <c:v>44091</c:v>
                      </c:pt>
                      <c:pt idx="85">
                        <c:v>44090</c:v>
                      </c:pt>
                      <c:pt idx="86">
                        <c:v>44089</c:v>
                      </c:pt>
                      <c:pt idx="87">
                        <c:v>44088</c:v>
                      </c:pt>
                      <c:pt idx="88">
                        <c:v>44085</c:v>
                      </c:pt>
                      <c:pt idx="89">
                        <c:v>44084</c:v>
                      </c:pt>
                      <c:pt idx="90">
                        <c:v>44083</c:v>
                      </c:pt>
                      <c:pt idx="91">
                        <c:v>44082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SPCE_cuphandle!$E$2:$E$93</c15:sqref>
                        </c15:formulaRef>
                      </c:ext>
                    </c:extLst>
                    <c:numCache>
                      <c:formatCode>General</c:formatCode>
                      <c:ptCount val="92"/>
                      <c:pt idx="0">
                        <c:v>31.65</c:v>
                      </c:pt>
                      <c:pt idx="1">
                        <c:v>30.43</c:v>
                      </c:pt>
                      <c:pt idx="2">
                        <c:v>33.03</c:v>
                      </c:pt>
                      <c:pt idx="3">
                        <c:v>27.56</c:v>
                      </c:pt>
                      <c:pt idx="4">
                        <c:v>26.66</c:v>
                      </c:pt>
                      <c:pt idx="5">
                        <c:v>24.92</c:v>
                      </c:pt>
                      <c:pt idx="6">
                        <c:v>25.22</c:v>
                      </c:pt>
                      <c:pt idx="7">
                        <c:v>25.13</c:v>
                      </c:pt>
                      <c:pt idx="8">
                        <c:v>24.17</c:v>
                      </c:pt>
                      <c:pt idx="9">
                        <c:v>24.12</c:v>
                      </c:pt>
                      <c:pt idx="10">
                        <c:v>23.21</c:v>
                      </c:pt>
                      <c:pt idx="11">
                        <c:v>23.73</c:v>
                      </c:pt>
                      <c:pt idx="12">
                        <c:v>24.01</c:v>
                      </c:pt>
                      <c:pt idx="13">
                        <c:v>23.75</c:v>
                      </c:pt>
                      <c:pt idx="14">
                        <c:v>23.94</c:v>
                      </c:pt>
                      <c:pt idx="15">
                        <c:v>25.85</c:v>
                      </c:pt>
                      <c:pt idx="16">
                        <c:v>26.82</c:v>
                      </c:pt>
                      <c:pt idx="17">
                        <c:v>25.47</c:v>
                      </c:pt>
                      <c:pt idx="18">
                        <c:v>24.8</c:v>
                      </c:pt>
                      <c:pt idx="19">
                        <c:v>23.84</c:v>
                      </c:pt>
                      <c:pt idx="20">
                        <c:v>25.5</c:v>
                      </c:pt>
                      <c:pt idx="21">
                        <c:v>25.86</c:v>
                      </c:pt>
                      <c:pt idx="22">
                        <c:v>24.51</c:v>
                      </c:pt>
                      <c:pt idx="23">
                        <c:v>26.47</c:v>
                      </c:pt>
                      <c:pt idx="24">
                        <c:v>32.04</c:v>
                      </c:pt>
                      <c:pt idx="25">
                        <c:v>32.18</c:v>
                      </c:pt>
                      <c:pt idx="26">
                        <c:v>32.130000000000003</c:v>
                      </c:pt>
                      <c:pt idx="27">
                        <c:v>33.39</c:v>
                      </c:pt>
                      <c:pt idx="28">
                        <c:v>33.799999999999997</c:v>
                      </c:pt>
                      <c:pt idx="29">
                        <c:v>28.74</c:v>
                      </c:pt>
                      <c:pt idx="30">
                        <c:v>28.08</c:v>
                      </c:pt>
                      <c:pt idx="31">
                        <c:v>27.53</c:v>
                      </c:pt>
                      <c:pt idx="32">
                        <c:v>28.35</c:v>
                      </c:pt>
                      <c:pt idx="33">
                        <c:v>26.61</c:v>
                      </c:pt>
                      <c:pt idx="34">
                        <c:v>27.17</c:v>
                      </c:pt>
                      <c:pt idx="35">
                        <c:v>27.1</c:v>
                      </c:pt>
                      <c:pt idx="36">
                        <c:v>24.96</c:v>
                      </c:pt>
                      <c:pt idx="37">
                        <c:v>24.91</c:v>
                      </c:pt>
                      <c:pt idx="38">
                        <c:v>23.31</c:v>
                      </c:pt>
                      <c:pt idx="39">
                        <c:v>24.05</c:v>
                      </c:pt>
                      <c:pt idx="40">
                        <c:v>22.59</c:v>
                      </c:pt>
                      <c:pt idx="41">
                        <c:v>21.35</c:v>
                      </c:pt>
                      <c:pt idx="42">
                        <c:v>20.89</c:v>
                      </c:pt>
                      <c:pt idx="43">
                        <c:v>22.27</c:v>
                      </c:pt>
                      <c:pt idx="44">
                        <c:v>21.62</c:v>
                      </c:pt>
                      <c:pt idx="45">
                        <c:v>21.94</c:v>
                      </c:pt>
                      <c:pt idx="46">
                        <c:v>20.47</c:v>
                      </c:pt>
                      <c:pt idx="47">
                        <c:v>20.45</c:v>
                      </c:pt>
                      <c:pt idx="48">
                        <c:v>19.03</c:v>
                      </c:pt>
                      <c:pt idx="49">
                        <c:v>19.170000000000002</c:v>
                      </c:pt>
                      <c:pt idx="50">
                        <c:v>18.03</c:v>
                      </c:pt>
                      <c:pt idx="51">
                        <c:v>18.45</c:v>
                      </c:pt>
                      <c:pt idx="52">
                        <c:v>17.66</c:v>
                      </c:pt>
                      <c:pt idx="53">
                        <c:v>17.420000000000002</c:v>
                      </c:pt>
                      <c:pt idx="54">
                        <c:v>18.18</c:v>
                      </c:pt>
                      <c:pt idx="55">
                        <c:v>17.48</c:v>
                      </c:pt>
                      <c:pt idx="56">
                        <c:v>18.29</c:v>
                      </c:pt>
                      <c:pt idx="57">
                        <c:v>18.32</c:v>
                      </c:pt>
                      <c:pt idx="58">
                        <c:v>19.14</c:v>
                      </c:pt>
                      <c:pt idx="59">
                        <c:v>20.73</c:v>
                      </c:pt>
                      <c:pt idx="60">
                        <c:v>20.440000000000001</c:v>
                      </c:pt>
                      <c:pt idx="61">
                        <c:v>23.03</c:v>
                      </c:pt>
                      <c:pt idx="62">
                        <c:v>22.82</c:v>
                      </c:pt>
                      <c:pt idx="63">
                        <c:v>22.44</c:v>
                      </c:pt>
                      <c:pt idx="64">
                        <c:v>21.64</c:v>
                      </c:pt>
                      <c:pt idx="65">
                        <c:v>21.33</c:v>
                      </c:pt>
                      <c:pt idx="66">
                        <c:v>21.81</c:v>
                      </c:pt>
                      <c:pt idx="67">
                        <c:v>20.57</c:v>
                      </c:pt>
                      <c:pt idx="68">
                        <c:v>21.4</c:v>
                      </c:pt>
                      <c:pt idx="69">
                        <c:v>22.09</c:v>
                      </c:pt>
                      <c:pt idx="70">
                        <c:v>21.82</c:v>
                      </c:pt>
                      <c:pt idx="71">
                        <c:v>21.03</c:v>
                      </c:pt>
                      <c:pt idx="72">
                        <c:v>21.01</c:v>
                      </c:pt>
                      <c:pt idx="73">
                        <c:v>20.77</c:v>
                      </c:pt>
                      <c:pt idx="74">
                        <c:v>20.170000000000002</c:v>
                      </c:pt>
                      <c:pt idx="75">
                        <c:v>19.23</c:v>
                      </c:pt>
                      <c:pt idx="76">
                        <c:v>20.440000000000001</c:v>
                      </c:pt>
                      <c:pt idx="77">
                        <c:v>20.51</c:v>
                      </c:pt>
                      <c:pt idx="78">
                        <c:v>16.43</c:v>
                      </c:pt>
                      <c:pt idx="79">
                        <c:v>15.92</c:v>
                      </c:pt>
                      <c:pt idx="80">
                        <c:v>15.73</c:v>
                      </c:pt>
                      <c:pt idx="81">
                        <c:v>16.47</c:v>
                      </c:pt>
                      <c:pt idx="82">
                        <c:v>16.48</c:v>
                      </c:pt>
                      <c:pt idx="83">
                        <c:v>17.21</c:v>
                      </c:pt>
                      <c:pt idx="84">
                        <c:v>17.18</c:v>
                      </c:pt>
                      <c:pt idx="85">
                        <c:v>17.41</c:v>
                      </c:pt>
                      <c:pt idx="86">
                        <c:v>17.7</c:v>
                      </c:pt>
                      <c:pt idx="87">
                        <c:v>17.39</c:v>
                      </c:pt>
                      <c:pt idx="88">
                        <c:v>16.559999999999999</c:v>
                      </c:pt>
                      <c:pt idx="89">
                        <c:v>17.45</c:v>
                      </c:pt>
                      <c:pt idx="90">
                        <c:v>17.71</c:v>
                      </c:pt>
                      <c:pt idx="91">
                        <c:v>17.399999999999999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A0D3-4A67-8356-52C2ACC103A2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v>Rolling Mean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SPCE_cuphandle!$A$2:$A$93</c15:sqref>
                        </c15:formulaRef>
                      </c:ext>
                    </c:extLst>
                    <c:numCache>
                      <c:formatCode>m/d/yyyy</c:formatCode>
                      <c:ptCount val="92"/>
                      <c:pt idx="0">
                        <c:v>44215</c:v>
                      </c:pt>
                      <c:pt idx="1">
                        <c:v>44211</c:v>
                      </c:pt>
                      <c:pt idx="2">
                        <c:v>44210</c:v>
                      </c:pt>
                      <c:pt idx="3">
                        <c:v>44209</c:v>
                      </c:pt>
                      <c:pt idx="4">
                        <c:v>44208</c:v>
                      </c:pt>
                      <c:pt idx="5">
                        <c:v>44207</c:v>
                      </c:pt>
                      <c:pt idx="6">
                        <c:v>44204</c:v>
                      </c:pt>
                      <c:pt idx="7">
                        <c:v>44203</c:v>
                      </c:pt>
                      <c:pt idx="8">
                        <c:v>44202</c:v>
                      </c:pt>
                      <c:pt idx="9">
                        <c:v>44201</c:v>
                      </c:pt>
                      <c:pt idx="10">
                        <c:v>44200</c:v>
                      </c:pt>
                      <c:pt idx="11">
                        <c:v>44196</c:v>
                      </c:pt>
                      <c:pt idx="12">
                        <c:v>44195</c:v>
                      </c:pt>
                      <c:pt idx="13">
                        <c:v>44194</c:v>
                      </c:pt>
                      <c:pt idx="14">
                        <c:v>44193</c:v>
                      </c:pt>
                      <c:pt idx="15">
                        <c:v>44189</c:v>
                      </c:pt>
                      <c:pt idx="16">
                        <c:v>44188</c:v>
                      </c:pt>
                      <c:pt idx="17">
                        <c:v>44187</c:v>
                      </c:pt>
                      <c:pt idx="18">
                        <c:v>44186</c:v>
                      </c:pt>
                      <c:pt idx="19">
                        <c:v>44183</c:v>
                      </c:pt>
                      <c:pt idx="20">
                        <c:v>44182</c:v>
                      </c:pt>
                      <c:pt idx="21">
                        <c:v>44181</c:v>
                      </c:pt>
                      <c:pt idx="22">
                        <c:v>44180</c:v>
                      </c:pt>
                      <c:pt idx="23">
                        <c:v>44179</c:v>
                      </c:pt>
                      <c:pt idx="24">
                        <c:v>44176</c:v>
                      </c:pt>
                      <c:pt idx="25">
                        <c:v>44175</c:v>
                      </c:pt>
                      <c:pt idx="26">
                        <c:v>44174</c:v>
                      </c:pt>
                      <c:pt idx="27">
                        <c:v>44173</c:v>
                      </c:pt>
                      <c:pt idx="28">
                        <c:v>44172</c:v>
                      </c:pt>
                      <c:pt idx="29">
                        <c:v>44169</c:v>
                      </c:pt>
                      <c:pt idx="30">
                        <c:v>44168</c:v>
                      </c:pt>
                      <c:pt idx="31">
                        <c:v>44167</c:v>
                      </c:pt>
                      <c:pt idx="32">
                        <c:v>44166</c:v>
                      </c:pt>
                      <c:pt idx="33">
                        <c:v>44165</c:v>
                      </c:pt>
                      <c:pt idx="34">
                        <c:v>44162</c:v>
                      </c:pt>
                      <c:pt idx="35">
                        <c:v>44160</c:v>
                      </c:pt>
                      <c:pt idx="36">
                        <c:v>44159</c:v>
                      </c:pt>
                      <c:pt idx="37">
                        <c:v>44158</c:v>
                      </c:pt>
                      <c:pt idx="38">
                        <c:v>44155</c:v>
                      </c:pt>
                      <c:pt idx="39">
                        <c:v>44154</c:v>
                      </c:pt>
                      <c:pt idx="40">
                        <c:v>44153</c:v>
                      </c:pt>
                      <c:pt idx="41">
                        <c:v>44152</c:v>
                      </c:pt>
                      <c:pt idx="42">
                        <c:v>44151</c:v>
                      </c:pt>
                      <c:pt idx="43">
                        <c:v>44148</c:v>
                      </c:pt>
                      <c:pt idx="44">
                        <c:v>44147</c:v>
                      </c:pt>
                      <c:pt idx="45">
                        <c:v>44146</c:v>
                      </c:pt>
                      <c:pt idx="46">
                        <c:v>44145</c:v>
                      </c:pt>
                      <c:pt idx="47">
                        <c:v>44144</c:v>
                      </c:pt>
                      <c:pt idx="48">
                        <c:v>44141</c:v>
                      </c:pt>
                      <c:pt idx="49">
                        <c:v>44140</c:v>
                      </c:pt>
                      <c:pt idx="50">
                        <c:v>44139</c:v>
                      </c:pt>
                      <c:pt idx="51">
                        <c:v>44138</c:v>
                      </c:pt>
                      <c:pt idx="52">
                        <c:v>44137</c:v>
                      </c:pt>
                      <c:pt idx="53">
                        <c:v>44134</c:v>
                      </c:pt>
                      <c:pt idx="54">
                        <c:v>44133</c:v>
                      </c:pt>
                      <c:pt idx="55">
                        <c:v>44132</c:v>
                      </c:pt>
                      <c:pt idx="56">
                        <c:v>44131</c:v>
                      </c:pt>
                      <c:pt idx="57">
                        <c:v>44130</c:v>
                      </c:pt>
                      <c:pt idx="58">
                        <c:v>44127</c:v>
                      </c:pt>
                      <c:pt idx="59">
                        <c:v>44126</c:v>
                      </c:pt>
                      <c:pt idx="60">
                        <c:v>44125</c:v>
                      </c:pt>
                      <c:pt idx="61">
                        <c:v>44124</c:v>
                      </c:pt>
                      <c:pt idx="62">
                        <c:v>44123</c:v>
                      </c:pt>
                      <c:pt idx="63">
                        <c:v>44120</c:v>
                      </c:pt>
                      <c:pt idx="64">
                        <c:v>44119</c:v>
                      </c:pt>
                      <c:pt idx="65">
                        <c:v>44118</c:v>
                      </c:pt>
                      <c:pt idx="66">
                        <c:v>44117</c:v>
                      </c:pt>
                      <c:pt idx="67">
                        <c:v>44116</c:v>
                      </c:pt>
                      <c:pt idx="68">
                        <c:v>44113</c:v>
                      </c:pt>
                      <c:pt idx="69">
                        <c:v>44112</c:v>
                      </c:pt>
                      <c:pt idx="70">
                        <c:v>44111</c:v>
                      </c:pt>
                      <c:pt idx="71">
                        <c:v>44110</c:v>
                      </c:pt>
                      <c:pt idx="72">
                        <c:v>44109</c:v>
                      </c:pt>
                      <c:pt idx="73">
                        <c:v>44106</c:v>
                      </c:pt>
                      <c:pt idx="74">
                        <c:v>44105</c:v>
                      </c:pt>
                      <c:pt idx="75">
                        <c:v>44104</c:v>
                      </c:pt>
                      <c:pt idx="76">
                        <c:v>44103</c:v>
                      </c:pt>
                      <c:pt idx="77">
                        <c:v>44102</c:v>
                      </c:pt>
                      <c:pt idx="78">
                        <c:v>44099</c:v>
                      </c:pt>
                      <c:pt idx="79">
                        <c:v>44098</c:v>
                      </c:pt>
                      <c:pt idx="80">
                        <c:v>44097</c:v>
                      </c:pt>
                      <c:pt idx="81">
                        <c:v>44096</c:v>
                      </c:pt>
                      <c:pt idx="82">
                        <c:v>44095</c:v>
                      </c:pt>
                      <c:pt idx="83">
                        <c:v>44092</c:v>
                      </c:pt>
                      <c:pt idx="84">
                        <c:v>44091</c:v>
                      </c:pt>
                      <c:pt idx="85">
                        <c:v>44090</c:v>
                      </c:pt>
                      <c:pt idx="86">
                        <c:v>44089</c:v>
                      </c:pt>
                      <c:pt idx="87">
                        <c:v>44088</c:v>
                      </c:pt>
                      <c:pt idx="88">
                        <c:v>44085</c:v>
                      </c:pt>
                      <c:pt idx="89">
                        <c:v>44084</c:v>
                      </c:pt>
                      <c:pt idx="90">
                        <c:v>44083</c:v>
                      </c:pt>
                      <c:pt idx="91">
                        <c:v>44082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SPCE_cuphandle!$G$2:$G$91</c15:sqref>
                        </c15:formulaRef>
                      </c:ext>
                    </c:extLst>
                    <c:numCache>
                      <c:formatCode>General</c:formatCode>
                      <c:ptCount val="90"/>
                      <c:pt idx="0">
                        <c:v>31.703333333333333</c:v>
                      </c:pt>
                      <c:pt idx="1">
                        <c:v>30.34</c:v>
                      </c:pt>
                      <c:pt idx="2">
                        <c:v>29.083333333333332</c:v>
                      </c:pt>
                      <c:pt idx="3">
                        <c:v>26.38</c:v>
                      </c:pt>
                      <c:pt idx="4">
                        <c:v>25.599999999999998</c:v>
                      </c:pt>
                      <c:pt idx="5">
                        <c:v>25.09</c:v>
                      </c:pt>
                      <c:pt idx="6">
                        <c:v>24.84</c:v>
                      </c:pt>
                      <c:pt idx="7">
                        <c:v>24.473333333333333</c:v>
                      </c:pt>
                      <c:pt idx="8">
                        <c:v>23.833333333333332</c:v>
                      </c:pt>
                      <c:pt idx="9">
                        <c:v>23.686666666666667</c:v>
                      </c:pt>
                      <c:pt idx="10">
                        <c:v>23.650000000000002</c:v>
                      </c:pt>
                      <c:pt idx="11">
                        <c:v>23.830000000000002</c:v>
                      </c:pt>
                      <c:pt idx="12">
                        <c:v>23.900000000000002</c:v>
                      </c:pt>
                      <c:pt idx="13">
                        <c:v>24.513333333333332</c:v>
                      </c:pt>
                      <c:pt idx="14">
                        <c:v>25.536666666666672</c:v>
                      </c:pt>
                      <c:pt idx="15">
                        <c:v>26.046666666666667</c:v>
                      </c:pt>
                      <c:pt idx="16">
                        <c:v>25.696666666666669</c:v>
                      </c:pt>
                      <c:pt idx="17">
                        <c:v>24.703333333333333</c:v>
                      </c:pt>
                      <c:pt idx="18">
                        <c:v>24.713333333333335</c:v>
                      </c:pt>
                      <c:pt idx="19">
                        <c:v>25.066666666666666</c:v>
                      </c:pt>
                      <c:pt idx="20">
                        <c:v>25.290000000000003</c:v>
                      </c:pt>
                      <c:pt idx="21">
                        <c:v>25.613333333333333</c:v>
                      </c:pt>
                      <c:pt idx="22">
                        <c:v>27.673333333333336</c:v>
                      </c:pt>
                      <c:pt idx="23">
                        <c:v>30.23</c:v>
                      </c:pt>
                      <c:pt idx="24">
                        <c:v>32.116666666666667</c:v>
                      </c:pt>
                      <c:pt idx="25">
                        <c:v>32.56666666666667</c:v>
                      </c:pt>
                      <c:pt idx="26">
                        <c:v>33.106666666666669</c:v>
                      </c:pt>
                      <c:pt idx="27">
                        <c:v>31.976666666666663</c:v>
                      </c:pt>
                      <c:pt idx="28">
                        <c:v>30.206666666666663</c:v>
                      </c:pt>
                      <c:pt idx="29">
                        <c:v>28.116666666666664</c:v>
                      </c:pt>
                      <c:pt idx="30">
                        <c:v>27.986666666666668</c:v>
                      </c:pt>
                      <c:pt idx="31">
                        <c:v>27.49666666666667</c:v>
                      </c:pt>
                      <c:pt idx="32">
                        <c:v>27.376666666666665</c:v>
                      </c:pt>
                      <c:pt idx="33">
                        <c:v>26.959999999999997</c:v>
                      </c:pt>
                      <c:pt idx="34">
                        <c:v>26.41</c:v>
                      </c:pt>
                      <c:pt idx="35">
                        <c:v>25.656666666666666</c:v>
                      </c:pt>
                      <c:pt idx="36">
                        <c:v>24.393333333333334</c:v>
                      </c:pt>
                      <c:pt idx="37">
                        <c:v>24.09</c:v>
                      </c:pt>
                      <c:pt idx="38">
                        <c:v>23.316666666666666</c:v>
                      </c:pt>
                      <c:pt idx="39">
                        <c:v>22.663333333333338</c:v>
                      </c:pt>
                      <c:pt idx="40">
                        <c:v>21.61</c:v>
                      </c:pt>
                      <c:pt idx="41">
                        <c:v>21.503333333333334</c:v>
                      </c:pt>
                      <c:pt idx="42">
                        <c:v>21.593333333333334</c:v>
                      </c:pt>
                      <c:pt idx="43">
                        <c:v>21.943333333333332</c:v>
                      </c:pt>
                      <c:pt idx="44">
                        <c:v>21.343333333333334</c:v>
                      </c:pt>
                      <c:pt idx="45">
                        <c:v>20.953333333333333</c:v>
                      </c:pt>
                      <c:pt idx="46">
                        <c:v>19.983333333333334</c:v>
                      </c:pt>
                      <c:pt idx="47">
                        <c:v>19.55</c:v>
                      </c:pt>
                      <c:pt idx="48">
                        <c:v>18.743333333333336</c:v>
                      </c:pt>
                      <c:pt idx="49">
                        <c:v>18.55</c:v>
                      </c:pt>
                      <c:pt idx="50">
                        <c:v>18.046666666666667</c:v>
                      </c:pt>
                      <c:pt idx="51">
                        <c:v>17.843333333333334</c:v>
                      </c:pt>
                      <c:pt idx="52">
                        <c:v>17.753333333333334</c:v>
                      </c:pt>
                      <c:pt idx="53">
                        <c:v>17.693333333333332</c:v>
                      </c:pt>
                      <c:pt idx="54">
                        <c:v>17.983333333333331</c:v>
                      </c:pt>
                      <c:pt idx="55">
                        <c:v>18.029999999999998</c:v>
                      </c:pt>
                      <c:pt idx="56">
                        <c:v>18.583333333333332</c:v>
                      </c:pt>
                      <c:pt idx="57">
                        <c:v>19.396666666666665</c:v>
                      </c:pt>
                      <c:pt idx="58">
                        <c:v>20.103333333333335</c:v>
                      </c:pt>
                      <c:pt idx="59">
                        <c:v>21.400000000000002</c:v>
                      </c:pt>
                      <c:pt idx="60">
                        <c:v>22.096666666666664</c:v>
                      </c:pt>
                      <c:pt idx="61">
                        <c:v>22.763333333333335</c:v>
                      </c:pt>
                      <c:pt idx="62">
                        <c:v>22.3</c:v>
                      </c:pt>
                      <c:pt idx="63">
                        <c:v>21.803333333333331</c:v>
                      </c:pt>
                      <c:pt idx="64">
                        <c:v>21.593333333333334</c:v>
                      </c:pt>
                      <c:pt idx="65">
                        <c:v>21.236666666666668</c:v>
                      </c:pt>
                      <c:pt idx="66">
                        <c:v>21.259999999999998</c:v>
                      </c:pt>
                      <c:pt idx="67">
                        <c:v>21.353333333333335</c:v>
                      </c:pt>
                      <c:pt idx="68">
                        <c:v>21.77</c:v>
                      </c:pt>
                      <c:pt idx="69">
                        <c:v>21.646666666666665</c:v>
                      </c:pt>
                      <c:pt idx="70">
                        <c:v>21.286666666666665</c:v>
                      </c:pt>
                      <c:pt idx="71">
                        <c:v>20.936666666666667</c:v>
                      </c:pt>
                      <c:pt idx="72">
                        <c:v>20.650000000000002</c:v>
                      </c:pt>
                      <c:pt idx="73">
                        <c:v>20.056666666666668</c:v>
                      </c:pt>
                      <c:pt idx="74">
                        <c:v>19.946666666666669</c:v>
                      </c:pt>
                      <c:pt idx="75">
                        <c:v>20.060000000000002</c:v>
                      </c:pt>
                      <c:pt idx="76">
                        <c:v>19.126666666666669</c:v>
                      </c:pt>
                      <c:pt idx="77">
                        <c:v>17.62</c:v>
                      </c:pt>
                      <c:pt idx="78">
                        <c:v>16.026666666666667</c:v>
                      </c:pt>
                      <c:pt idx="79">
                        <c:v>16.04</c:v>
                      </c:pt>
                      <c:pt idx="80">
                        <c:v>16.22666666666667</c:v>
                      </c:pt>
                      <c:pt idx="81">
                        <c:v>16.720000000000002</c:v>
                      </c:pt>
                      <c:pt idx="82">
                        <c:v>16.956666666666667</c:v>
                      </c:pt>
                      <c:pt idx="83">
                        <c:v>17.266666666666666</c:v>
                      </c:pt>
                      <c:pt idx="84">
                        <c:v>17.430000000000003</c:v>
                      </c:pt>
                      <c:pt idx="85">
                        <c:v>17.5</c:v>
                      </c:pt>
                      <c:pt idx="86">
                        <c:v>17.216666666666669</c:v>
                      </c:pt>
                      <c:pt idx="87">
                        <c:v>17.133333333333336</c:v>
                      </c:pt>
                      <c:pt idx="88">
                        <c:v>17.239999999999998</c:v>
                      </c:pt>
                      <c:pt idx="89">
                        <c:v>17.52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A0D3-4A67-8356-52C2ACC103A2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v>Rolling Std</c:v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SPCE_cuphandle!$A$2:$A$93</c15:sqref>
                        </c15:formulaRef>
                      </c:ext>
                    </c:extLst>
                    <c:numCache>
                      <c:formatCode>m/d/yyyy</c:formatCode>
                      <c:ptCount val="92"/>
                      <c:pt idx="0">
                        <c:v>44215</c:v>
                      </c:pt>
                      <c:pt idx="1">
                        <c:v>44211</c:v>
                      </c:pt>
                      <c:pt idx="2">
                        <c:v>44210</c:v>
                      </c:pt>
                      <c:pt idx="3">
                        <c:v>44209</c:v>
                      </c:pt>
                      <c:pt idx="4">
                        <c:v>44208</c:v>
                      </c:pt>
                      <c:pt idx="5">
                        <c:v>44207</c:v>
                      </c:pt>
                      <c:pt idx="6">
                        <c:v>44204</c:v>
                      </c:pt>
                      <c:pt idx="7">
                        <c:v>44203</c:v>
                      </c:pt>
                      <c:pt idx="8">
                        <c:v>44202</c:v>
                      </c:pt>
                      <c:pt idx="9">
                        <c:v>44201</c:v>
                      </c:pt>
                      <c:pt idx="10">
                        <c:v>44200</c:v>
                      </c:pt>
                      <c:pt idx="11">
                        <c:v>44196</c:v>
                      </c:pt>
                      <c:pt idx="12">
                        <c:v>44195</c:v>
                      </c:pt>
                      <c:pt idx="13">
                        <c:v>44194</c:v>
                      </c:pt>
                      <c:pt idx="14">
                        <c:v>44193</c:v>
                      </c:pt>
                      <c:pt idx="15">
                        <c:v>44189</c:v>
                      </c:pt>
                      <c:pt idx="16">
                        <c:v>44188</c:v>
                      </c:pt>
                      <c:pt idx="17">
                        <c:v>44187</c:v>
                      </c:pt>
                      <c:pt idx="18">
                        <c:v>44186</c:v>
                      </c:pt>
                      <c:pt idx="19">
                        <c:v>44183</c:v>
                      </c:pt>
                      <c:pt idx="20">
                        <c:v>44182</c:v>
                      </c:pt>
                      <c:pt idx="21">
                        <c:v>44181</c:v>
                      </c:pt>
                      <c:pt idx="22">
                        <c:v>44180</c:v>
                      </c:pt>
                      <c:pt idx="23">
                        <c:v>44179</c:v>
                      </c:pt>
                      <c:pt idx="24">
                        <c:v>44176</c:v>
                      </c:pt>
                      <c:pt idx="25">
                        <c:v>44175</c:v>
                      </c:pt>
                      <c:pt idx="26">
                        <c:v>44174</c:v>
                      </c:pt>
                      <c:pt idx="27">
                        <c:v>44173</c:v>
                      </c:pt>
                      <c:pt idx="28">
                        <c:v>44172</c:v>
                      </c:pt>
                      <c:pt idx="29">
                        <c:v>44169</c:v>
                      </c:pt>
                      <c:pt idx="30">
                        <c:v>44168</c:v>
                      </c:pt>
                      <c:pt idx="31">
                        <c:v>44167</c:v>
                      </c:pt>
                      <c:pt idx="32">
                        <c:v>44166</c:v>
                      </c:pt>
                      <c:pt idx="33">
                        <c:v>44165</c:v>
                      </c:pt>
                      <c:pt idx="34">
                        <c:v>44162</c:v>
                      </c:pt>
                      <c:pt idx="35">
                        <c:v>44160</c:v>
                      </c:pt>
                      <c:pt idx="36">
                        <c:v>44159</c:v>
                      </c:pt>
                      <c:pt idx="37">
                        <c:v>44158</c:v>
                      </c:pt>
                      <c:pt idx="38">
                        <c:v>44155</c:v>
                      </c:pt>
                      <c:pt idx="39">
                        <c:v>44154</c:v>
                      </c:pt>
                      <c:pt idx="40">
                        <c:v>44153</c:v>
                      </c:pt>
                      <c:pt idx="41">
                        <c:v>44152</c:v>
                      </c:pt>
                      <c:pt idx="42">
                        <c:v>44151</c:v>
                      </c:pt>
                      <c:pt idx="43">
                        <c:v>44148</c:v>
                      </c:pt>
                      <c:pt idx="44">
                        <c:v>44147</c:v>
                      </c:pt>
                      <c:pt idx="45">
                        <c:v>44146</c:v>
                      </c:pt>
                      <c:pt idx="46">
                        <c:v>44145</c:v>
                      </c:pt>
                      <c:pt idx="47">
                        <c:v>44144</c:v>
                      </c:pt>
                      <c:pt idx="48">
                        <c:v>44141</c:v>
                      </c:pt>
                      <c:pt idx="49">
                        <c:v>44140</c:v>
                      </c:pt>
                      <c:pt idx="50">
                        <c:v>44139</c:v>
                      </c:pt>
                      <c:pt idx="51">
                        <c:v>44138</c:v>
                      </c:pt>
                      <c:pt idx="52">
                        <c:v>44137</c:v>
                      </c:pt>
                      <c:pt idx="53">
                        <c:v>44134</c:v>
                      </c:pt>
                      <c:pt idx="54">
                        <c:v>44133</c:v>
                      </c:pt>
                      <c:pt idx="55">
                        <c:v>44132</c:v>
                      </c:pt>
                      <c:pt idx="56">
                        <c:v>44131</c:v>
                      </c:pt>
                      <c:pt idx="57">
                        <c:v>44130</c:v>
                      </c:pt>
                      <c:pt idx="58">
                        <c:v>44127</c:v>
                      </c:pt>
                      <c:pt idx="59">
                        <c:v>44126</c:v>
                      </c:pt>
                      <c:pt idx="60">
                        <c:v>44125</c:v>
                      </c:pt>
                      <c:pt idx="61">
                        <c:v>44124</c:v>
                      </c:pt>
                      <c:pt idx="62">
                        <c:v>44123</c:v>
                      </c:pt>
                      <c:pt idx="63">
                        <c:v>44120</c:v>
                      </c:pt>
                      <c:pt idx="64">
                        <c:v>44119</c:v>
                      </c:pt>
                      <c:pt idx="65">
                        <c:v>44118</c:v>
                      </c:pt>
                      <c:pt idx="66">
                        <c:v>44117</c:v>
                      </c:pt>
                      <c:pt idx="67">
                        <c:v>44116</c:v>
                      </c:pt>
                      <c:pt idx="68">
                        <c:v>44113</c:v>
                      </c:pt>
                      <c:pt idx="69">
                        <c:v>44112</c:v>
                      </c:pt>
                      <c:pt idx="70">
                        <c:v>44111</c:v>
                      </c:pt>
                      <c:pt idx="71">
                        <c:v>44110</c:v>
                      </c:pt>
                      <c:pt idx="72">
                        <c:v>44109</c:v>
                      </c:pt>
                      <c:pt idx="73">
                        <c:v>44106</c:v>
                      </c:pt>
                      <c:pt idx="74">
                        <c:v>44105</c:v>
                      </c:pt>
                      <c:pt idx="75">
                        <c:v>44104</c:v>
                      </c:pt>
                      <c:pt idx="76">
                        <c:v>44103</c:v>
                      </c:pt>
                      <c:pt idx="77">
                        <c:v>44102</c:v>
                      </c:pt>
                      <c:pt idx="78">
                        <c:v>44099</c:v>
                      </c:pt>
                      <c:pt idx="79">
                        <c:v>44098</c:v>
                      </c:pt>
                      <c:pt idx="80">
                        <c:v>44097</c:v>
                      </c:pt>
                      <c:pt idx="81">
                        <c:v>44096</c:v>
                      </c:pt>
                      <c:pt idx="82">
                        <c:v>44095</c:v>
                      </c:pt>
                      <c:pt idx="83">
                        <c:v>44092</c:v>
                      </c:pt>
                      <c:pt idx="84">
                        <c:v>44091</c:v>
                      </c:pt>
                      <c:pt idx="85">
                        <c:v>44090</c:v>
                      </c:pt>
                      <c:pt idx="86">
                        <c:v>44089</c:v>
                      </c:pt>
                      <c:pt idx="87">
                        <c:v>44088</c:v>
                      </c:pt>
                      <c:pt idx="88">
                        <c:v>44085</c:v>
                      </c:pt>
                      <c:pt idx="89">
                        <c:v>44084</c:v>
                      </c:pt>
                      <c:pt idx="90">
                        <c:v>44083</c:v>
                      </c:pt>
                      <c:pt idx="91">
                        <c:v>44082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SPCE_cuphandle!$H$2:$H$91</c15:sqref>
                        </c15:formulaRef>
                      </c:ext>
                    </c:extLst>
                    <c:numCache>
                      <c:formatCode>General</c:formatCode>
                      <c:ptCount val="90"/>
                      <c:pt idx="0">
                        <c:v>1.3008202540448603</c:v>
                      </c:pt>
                      <c:pt idx="1">
                        <c:v>2.7361103778904838</c:v>
                      </c:pt>
                      <c:pt idx="2">
                        <c:v>3.4474096555723315</c:v>
                      </c:pt>
                      <c:pt idx="3">
                        <c:v>1.3420879255846079</c:v>
                      </c:pt>
                      <c:pt idx="4">
                        <c:v>0.93016127633867851</c:v>
                      </c:pt>
                      <c:pt idx="5">
                        <c:v>0.15394804318340496</c:v>
                      </c:pt>
                      <c:pt idx="6">
                        <c:v>0.5819793810780568</c:v>
                      </c:pt>
                      <c:pt idx="7">
                        <c:v>0.56923925842595557</c:v>
                      </c:pt>
                      <c:pt idx="8">
                        <c:v>0.54040108561450328</c:v>
                      </c:pt>
                      <c:pt idx="9">
                        <c:v>0.45654499595695208</c:v>
                      </c:pt>
                      <c:pt idx="10">
                        <c:v>0.40595566260368904</c:v>
                      </c:pt>
                      <c:pt idx="11">
                        <c:v>0.15620499351813386</c:v>
                      </c:pt>
                      <c:pt idx="12">
                        <c:v>0.13453624047073795</c:v>
                      </c:pt>
                      <c:pt idx="13">
                        <c:v>1.1614789422685781</c:v>
                      </c:pt>
                      <c:pt idx="14">
                        <c:v>1.4653441006580443</c:v>
                      </c:pt>
                      <c:pt idx="15">
                        <c:v>0.6961561127601581</c:v>
                      </c:pt>
                      <c:pt idx="16">
                        <c:v>1.0288990880224034</c:v>
                      </c:pt>
                      <c:pt idx="17">
                        <c:v>0.81928830904226424</c:v>
                      </c:pt>
                      <c:pt idx="18">
                        <c:v>0.83338666496010938</c:v>
                      </c:pt>
                      <c:pt idx="19">
                        <c:v>1.077466163428501</c:v>
                      </c:pt>
                      <c:pt idx="20">
                        <c:v>0.69907081186386155</c:v>
                      </c:pt>
                      <c:pt idx="21">
                        <c:v>1.0030121302024868</c:v>
                      </c:pt>
                      <c:pt idx="22">
                        <c:v>3.9065628541382691</c:v>
                      </c:pt>
                      <c:pt idx="23">
                        <c:v>3.2570078292813487</c:v>
                      </c:pt>
                      <c:pt idx="24">
                        <c:v>7.0945988845976443E-2</c:v>
                      </c:pt>
                      <c:pt idx="25">
                        <c:v>0.71346571980252338</c:v>
                      </c:pt>
                      <c:pt idx="26">
                        <c:v>0.87030645943445062</c:v>
                      </c:pt>
                      <c:pt idx="27">
                        <c:v>2.8105218969674182</c:v>
                      </c:pt>
                      <c:pt idx="28">
                        <c:v>3.12936628302494</c:v>
                      </c:pt>
                      <c:pt idx="29">
                        <c:v>0.60583276020146992</c:v>
                      </c:pt>
                      <c:pt idx="30">
                        <c:v>0.41789153297636122</c:v>
                      </c:pt>
                      <c:pt idx="31">
                        <c:v>0.87047879545301687</c:v>
                      </c:pt>
                      <c:pt idx="32">
                        <c:v>0.88821919216673917</c:v>
                      </c:pt>
                      <c:pt idx="33">
                        <c:v>0.30512292604784835</c:v>
                      </c:pt>
                      <c:pt idx="34">
                        <c:v>1.2562245022288019</c:v>
                      </c:pt>
                      <c:pt idx="35">
                        <c:v>1.2502133151319956</c:v>
                      </c:pt>
                      <c:pt idx="36">
                        <c:v>0.93852721502007352</c:v>
                      </c:pt>
                      <c:pt idx="37">
                        <c:v>0.80074964876670485</c:v>
                      </c:pt>
                      <c:pt idx="38">
                        <c:v>0.73002283069321461</c:v>
                      </c:pt>
                      <c:pt idx="39">
                        <c:v>1.3514930015850368</c:v>
                      </c:pt>
                      <c:pt idx="40">
                        <c:v>0.87931791747922383</c:v>
                      </c:pt>
                      <c:pt idx="41">
                        <c:v>0.70266160655989485</c:v>
                      </c:pt>
                      <c:pt idx="42">
                        <c:v>0.69038636525740615</c:v>
                      </c:pt>
                      <c:pt idx="43">
                        <c:v>0.3250128202599597</c:v>
                      </c:pt>
                      <c:pt idx="44">
                        <c:v>0.77306748303969908</c:v>
                      </c:pt>
                      <c:pt idx="45">
                        <c:v>0.8545369116271897</c:v>
                      </c:pt>
                      <c:pt idx="46">
                        <c:v>0.82567144393719427</c:v>
                      </c:pt>
                      <c:pt idx="47">
                        <c:v>0.7825599018605528</c:v>
                      </c:pt>
                      <c:pt idx="48">
                        <c:v>0.6217180497084942</c:v>
                      </c:pt>
                      <c:pt idx="49">
                        <c:v>0.57654141221598343</c:v>
                      </c:pt>
                      <c:pt idx="50">
                        <c:v>0.39526362510776647</c:v>
                      </c:pt>
                      <c:pt idx="51">
                        <c:v>0.53891867042563313</c:v>
                      </c:pt>
                      <c:pt idx="52">
                        <c:v>0.38850139424889152</c:v>
                      </c:pt>
                      <c:pt idx="53">
                        <c:v>0.42253205006642114</c:v>
                      </c:pt>
                      <c:pt idx="54">
                        <c:v>0.43935558871298402</c:v>
                      </c:pt>
                      <c:pt idx="55">
                        <c:v>0.47655010229775385</c:v>
                      </c:pt>
                      <c:pt idx="56">
                        <c:v>0.48232077845903948</c:v>
                      </c:pt>
                      <c:pt idx="57">
                        <c:v>1.2253298875540959</c:v>
                      </c:pt>
                      <c:pt idx="58">
                        <c:v>0.84677820787578939</c:v>
                      </c:pt>
                      <c:pt idx="59">
                        <c:v>1.4190489773083943</c:v>
                      </c:pt>
                      <c:pt idx="60">
                        <c:v>1.4385525132345125</c:v>
                      </c:pt>
                      <c:pt idx="61">
                        <c:v>0.29905406423142494</c:v>
                      </c:pt>
                      <c:pt idx="62">
                        <c:v>0.60232881385502379</c:v>
                      </c:pt>
                      <c:pt idx="63">
                        <c:v>0.57274194305405546</c:v>
                      </c:pt>
                      <c:pt idx="64">
                        <c:v>0.24337899115029121</c:v>
                      </c:pt>
                      <c:pt idx="65">
                        <c:v>0.62524661801031134</c:v>
                      </c:pt>
                      <c:pt idx="66">
                        <c:v>0.63174361888348263</c:v>
                      </c:pt>
                      <c:pt idx="67">
                        <c:v>0.76107380281634507</c:v>
                      </c:pt>
                      <c:pt idx="68">
                        <c:v>0.34770677301427488</c:v>
                      </c:pt>
                      <c:pt idx="69">
                        <c:v>0.55084783137753446</c:v>
                      </c:pt>
                      <c:pt idx="70">
                        <c:v>0.46198845584422643</c:v>
                      </c:pt>
                      <c:pt idx="71">
                        <c:v>0.1446835627614057</c:v>
                      </c:pt>
                      <c:pt idx="72">
                        <c:v>0.43266615305567835</c:v>
                      </c:pt>
                      <c:pt idx="73">
                        <c:v>0.77623020640357265</c:v>
                      </c:pt>
                      <c:pt idx="74">
                        <c:v>0.6351640208114232</c:v>
                      </c:pt>
                      <c:pt idx="75">
                        <c:v>0.71965269401288345</c:v>
                      </c:pt>
                      <c:pt idx="76">
                        <c:v>2.3356440938921619</c:v>
                      </c:pt>
                      <c:pt idx="77">
                        <c:v>2.5157702597812941</c:v>
                      </c:pt>
                      <c:pt idx="78">
                        <c:v>0.36198526673517128</c:v>
                      </c:pt>
                      <c:pt idx="79">
                        <c:v>0.38431757701151192</c:v>
                      </c:pt>
                      <c:pt idx="80">
                        <c:v>0.43015501081974267</c:v>
                      </c:pt>
                      <c:pt idx="81">
                        <c:v>0.42438190347845961</c:v>
                      </c:pt>
                      <c:pt idx="82">
                        <c:v>0.41307787804884116</c:v>
                      </c:pt>
                      <c:pt idx="83">
                        <c:v>0.12503332889007368</c:v>
                      </c:pt>
                      <c:pt idx="84">
                        <c:v>0.26057628441590741</c:v>
                      </c:pt>
                      <c:pt idx="85">
                        <c:v>0.17349351572897409</c:v>
                      </c:pt>
                      <c:pt idx="86">
                        <c:v>0.58943475748663987</c:v>
                      </c:pt>
                      <c:pt idx="87">
                        <c:v>0.49742671151973133</c:v>
                      </c:pt>
                      <c:pt idx="88">
                        <c:v>0.603075451332585</c:v>
                      </c:pt>
                      <c:pt idx="89">
                        <c:v>0.16643316977093353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0D3-4A67-8356-52C2ACC103A2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First Deriv. Window</c:v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SPCE_cuphandle!$A$2:$A$93</c15:sqref>
                        </c15:formulaRef>
                      </c:ext>
                    </c:extLst>
                    <c:numCache>
                      <c:formatCode>m/d/yyyy</c:formatCode>
                      <c:ptCount val="92"/>
                      <c:pt idx="0">
                        <c:v>44215</c:v>
                      </c:pt>
                      <c:pt idx="1">
                        <c:v>44211</c:v>
                      </c:pt>
                      <c:pt idx="2">
                        <c:v>44210</c:v>
                      </c:pt>
                      <c:pt idx="3">
                        <c:v>44209</c:v>
                      </c:pt>
                      <c:pt idx="4">
                        <c:v>44208</c:v>
                      </c:pt>
                      <c:pt idx="5">
                        <c:v>44207</c:v>
                      </c:pt>
                      <c:pt idx="6">
                        <c:v>44204</c:v>
                      </c:pt>
                      <c:pt idx="7">
                        <c:v>44203</c:v>
                      </c:pt>
                      <c:pt idx="8">
                        <c:v>44202</c:v>
                      </c:pt>
                      <c:pt idx="9">
                        <c:v>44201</c:v>
                      </c:pt>
                      <c:pt idx="10">
                        <c:v>44200</c:v>
                      </c:pt>
                      <c:pt idx="11">
                        <c:v>44196</c:v>
                      </c:pt>
                      <c:pt idx="12">
                        <c:v>44195</c:v>
                      </c:pt>
                      <c:pt idx="13">
                        <c:v>44194</c:v>
                      </c:pt>
                      <c:pt idx="14">
                        <c:v>44193</c:v>
                      </c:pt>
                      <c:pt idx="15">
                        <c:v>44189</c:v>
                      </c:pt>
                      <c:pt idx="16">
                        <c:v>44188</c:v>
                      </c:pt>
                      <c:pt idx="17">
                        <c:v>44187</c:v>
                      </c:pt>
                      <c:pt idx="18">
                        <c:v>44186</c:v>
                      </c:pt>
                      <c:pt idx="19">
                        <c:v>44183</c:v>
                      </c:pt>
                      <c:pt idx="20">
                        <c:v>44182</c:v>
                      </c:pt>
                      <c:pt idx="21">
                        <c:v>44181</c:v>
                      </c:pt>
                      <c:pt idx="22">
                        <c:v>44180</c:v>
                      </c:pt>
                      <c:pt idx="23">
                        <c:v>44179</c:v>
                      </c:pt>
                      <c:pt idx="24">
                        <c:v>44176</c:v>
                      </c:pt>
                      <c:pt idx="25">
                        <c:v>44175</c:v>
                      </c:pt>
                      <c:pt idx="26">
                        <c:v>44174</c:v>
                      </c:pt>
                      <c:pt idx="27">
                        <c:v>44173</c:v>
                      </c:pt>
                      <c:pt idx="28">
                        <c:v>44172</c:v>
                      </c:pt>
                      <c:pt idx="29">
                        <c:v>44169</c:v>
                      </c:pt>
                      <c:pt idx="30">
                        <c:v>44168</c:v>
                      </c:pt>
                      <c:pt idx="31">
                        <c:v>44167</c:v>
                      </c:pt>
                      <c:pt idx="32">
                        <c:v>44166</c:v>
                      </c:pt>
                      <c:pt idx="33">
                        <c:v>44165</c:v>
                      </c:pt>
                      <c:pt idx="34">
                        <c:v>44162</c:v>
                      </c:pt>
                      <c:pt idx="35">
                        <c:v>44160</c:v>
                      </c:pt>
                      <c:pt idx="36">
                        <c:v>44159</c:v>
                      </c:pt>
                      <c:pt idx="37">
                        <c:v>44158</c:v>
                      </c:pt>
                      <c:pt idx="38">
                        <c:v>44155</c:v>
                      </c:pt>
                      <c:pt idx="39">
                        <c:v>44154</c:v>
                      </c:pt>
                      <c:pt idx="40">
                        <c:v>44153</c:v>
                      </c:pt>
                      <c:pt idx="41">
                        <c:v>44152</c:v>
                      </c:pt>
                      <c:pt idx="42">
                        <c:v>44151</c:v>
                      </c:pt>
                      <c:pt idx="43">
                        <c:v>44148</c:v>
                      </c:pt>
                      <c:pt idx="44">
                        <c:v>44147</c:v>
                      </c:pt>
                      <c:pt idx="45">
                        <c:v>44146</c:v>
                      </c:pt>
                      <c:pt idx="46">
                        <c:v>44145</c:v>
                      </c:pt>
                      <c:pt idx="47">
                        <c:v>44144</c:v>
                      </c:pt>
                      <c:pt idx="48">
                        <c:v>44141</c:v>
                      </c:pt>
                      <c:pt idx="49">
                        <c:v>44140</c:v>
                      </c:pt>
                      <c:pt idx="50">
                        <c:v>44139</c:v>
                      </c:pt>
                      <c:pt idx="51">
                        <c:v>44138</c:v>
                      </c:pt>
                      <c:pt idx="52">
                        <c:v>44137</c:v>
                      </c:pt>
                      <c:pt idx="53">
                        <c:v>44134</c:v>
                      </c:pt>
                      <c:pt idx="54">
                        <c:v>44133</c:v>
                      </c:pt>
                      <c:pt idx="55">
                        <c:v>44132</c:v>
                      </c:pt>
                      <c:pt idx="56">
                        <c:v>44131</c:v>
                      </c:pt>
                      <c:pt idx="57">
                        <c:v>44130</c:v>
                      </c:pt>
                      <c:pt idx="58">
                        <c:v>44127</c:v>
                      </c:pt>
                      <c:pt idx="59">
                        <c:v>44126</c:v>
                      </c:pt>
                      <c:pt idx="60">
                        <c:v>44125</c:v>
                      </c:pt>
                      <c:pt idx="61">
                        <c:v>44124</c:v>
                      </c:pt>
                      <c:pt idx="62">
                        <c:v>44123</c:v>
                      </c:pt>
                      <c:pt idx="63">
                        <c:v>44120</c:v>
                      </c:pt>
                      <c:pt idx="64">
                        <c:v>44119</c:v>
                      </c:pt>
                      <c:pt idx="65">
                        <c:v>44118</c:v>
                      </c:pt>
                      <c:pt idx="66">
                        <c:v>44117</c:v>
                      </c:pt>
                      <c:pt idx="67">
                        <c:v>44116</c:v>
                      </c:pt>
                      <c:pt idx="68">
                        <c:v>44113</c:v>
                      </c:pt>
                      <c:pt idx="69">
                        <c:v>44112</c:v>
                      </c:pt>
                      <c:pt idx="70">
                        <c:v>44111</c:v>
                      </c:pt>
                      <c:pt idx="71">
                        <c:v>44110</c:v>
                      </c:pt>
                      <c:pt idx="72">
                        <c:v>44109</c:v>
                      </c:pt>
                      <c:pt idx="73">
                        <c:v>44106</c:v>
                      </c:pt>
                      <c:pt idx="74">
                        <c:v>44105</c:v>
                      </c:pt>
                      <c:pt idx="75">
                        <c:v>44104</c:v>
                      </c:pt>
                      <c:pt idx="76">
                        <c:v>44103</c:v>
                      </c:pt>
                      <c:pt idx="77">
                        <c:v>44102</c:v>
                      </c:pt>
                      <c:pt idx="78">
                        <c:v>44099</c:v>
                      </c:pt>
                      <c:pt idx="79">
                        <c:v>44098</c:v>
                      </c:pt>
                      <c:pt idx="80">
                        <c:v>44097</c:v>
                      </c:pt>
                      <c:pt idx="81">
                        <c:v>44096</c:v>
                      </c:pt>
                      <c:pt idx="82">
                        <c:v>44095</c:v>
                      </c:pt>
                      <c:pt idx="83">
                        <c:v>44092</c:v>
                      </c:pt>
                      <c:pt idx="84">
                        <c:v>44091</c:v>
                      </c:pt>
                      <c:pt idx="85">
                        <c:v>44090</c:v>
                      </c:pt>
                      <c:pt idx="86">
                        <c:v>44089</c:v>
                      </c:pt>
                      <c:pt idx="87">
                        <c:v>44088</c:v>
                      </c:pt>
                      <c:pt idx="88">
                        <c:v>44085</c:v>
                      </c:pt>
                      <c:pt idx="89">
                        <c:v>44084</c:v>
                      </c:pt>
                      <c:pt idx="90">
                        <c:v>44083</c:v>
                      </c:pt>
                      <c:pt idx="91">
                        <c:v>44082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SPCE_cuphandle!$N$2:$N$90</c15:sqref>
                        </c15:formulaRef>
                      </c:ext>
                    </c:extLst>
                    <c:numCache>
                      <c:formatCode>General</c:formatCode>
                      <c:ptCount val="89"/>
                      <c:pt idx="0">
                        <c:v>-1.3633333333333333</c:v>
                      </c:pt>
                      <c:pt idx="1">
                        <c:v>-1.2566666666666677</c:v>
                      </c:pt>
                      <c:pt idx="2">
                        <c:v>-2.7033333333333331</c:v>
                      </c:pt>
                      <c:pt idx="3">
                        <c:v>-0.78000000000000114</c:v>
                      </c:pt>
                      <c:pt idx="4">
                        <c:v>-0.50999999999999801</c:v>
                      </c:pt>
                      <c:pt idx="5">
                        <c:v>-0.25</c:v>
                      </c:pt>
                      <c:pt idx="6">
                        <c:v>-0.36666666666666714</c:v>
                      </c:pt>
                      <c:pt idx="7">
                        <c:v>-0.64000000000000057</c:v>
                      </c:pt>
                      <c:pt idx="8">
                        <c:v>-0.14666666666666472</c:v>
                      </c:pt>
                      <c:pt idx="9">
                        <c:v>-3.6666666666665293E-2</c:v>
                      </c:pt>
                      <c:pt idx="10">
                        <c:v>0.17999999999999972</c:v>
                      </c:pt>
                      <c:pt idx="11">
                        <c:v>7.0000000000000284E-2</c:v>
                      </c:pt>
                      <c:pt idx="12">
                        <c:v>0.61333333333332973</c:v>
                      </c:pt>
                      <c:pt idx="13">
                        <c:v>1.0233333333333405</c:v>
                      </c:pt>
                      <c:pt idx="14">
                        <c:v>0.50999999999999446</c:v>
                      </c:pt>
                      <c:pt idx="15">
                        <c:v>-0.34999999999999787</c:v>
                      </c:pt>
                      <c:pt idx="16">
                        <c:v>-0.99333333333333584</c:v>
                      </c:pt>
                      <c:pt idx="17">
                        <c:v>1.0000000000001563E-2</c:v>
                      </c:pt>
                      <c:pt idx="18">
                        <c:v>0.35333333333333172</c:v>
                      </c:pt>
                      <c:pt idx="19">
                        <c:v>0.22333333333333627</c:v>
                      </c:pt>
                      <c:pt idx="20">
                        <c:v>0.32333333333333059</c:v>
                      </c:pt>
                      <c:pt idx="21">
                        <c:v>2.0600000000000023</c:v>
                      </c:pt>
                      <c:pt idx="22">
                        <c:v>2.5566666666666649</c:v>
                      </c:pt>
                      <c:pt idx="23">
                        <c:v>1.8866666666666667</c:v>
                      </c:pt>
                      <c:pt idx="24">
                        <c:v>0.45000000000000284</c:v>
                      </c:pt>
                      <c:pt idx="25">
                        <c:v>0.53999999999999915</c:v>
                      </c:pt>
                      <c:pt idx="26">
                        <c:v>-1.1300000000000061</c:v>
                      </c:pt>
                      <c:pt idx="27">
                        <c:v>-1.7699999999999996</c:v>
                      </c:pt>
                      <c:pt idx="28">
                        <c:v>-2.09</c:v>
                      </c:pt>
                      <c:pt idx="29">
                        <c:v>-0.12999999999999545</c:v>
                      </c:pt>
                      <c:pt idx="30">
                        <c:v>-0.48999999999999844</c:v>
                      </c:pt>
                      <c:pt idx="31">
                        <c:v>-0.12000000000000455</c:v>
                      </c:pt>
                      <c:pt idx="32">
                        <c:v>-0.41666666666666785</c:v>
                      </c:pt>
                      <c:pt idx="33">
                        <c:v>-0.54999999999999716</c:v>
                      </c:pt>
                      <c:pt idx="34">
                        <c:v>-0.75333333333333385</c:v>
                      </c:pt>
                      <c:pt idx="35">
                        <c:v>-1.2633333333333319</c:v>
                      </c:pt>
                      <c:pt idx="36">
                        <c:v>-0.30333333333333456</c:v>
                      </c:pt>
                      <c:pt idx="37">
                        <c:v>-0.77333333333333343</c:v>
                      </c:pt>
                      <c:pt idx="38">
                        <c:v>-0.65333333333332888</c:v>
                      </c:pt>
                      <c:pt idx="39">
                        <c:v>-1.0533333333333381</c:v>
                      </c:pt>
                      <c:pt idx="40">
                        <c:v>-0.10666666666666558</c:v>
                      </c:pt>
                      <c:pt idx="41">
                        <c:v>8.9999999999999858E-2</c:v>
                      </c:pt>
                      <c:pt idx="42">
                        <c:v>0.34999999999999787</c:v>
                      </c:pt>
                      <c:pt idx="43">
                        <c:v>-0.59999999999999787</c:v>
                      </c:pt>
                      <c:pt idx="44">
                        <c:v>-0.39000000000000057</c:v>
                      </c:pt>
                      <c:pt idx="45">
                        <c:v>-0.96999999999999886</c:v>
                      </c:pt>
                      <c:pt idx="46">
                        <c:v>-0.43333333333333357</c:v>
                      </c:pt>
                      <c:pt idx="47">
                        <c:v>-0.80666666666666487</c:v>
                      </c:pt>
                      <c:pt idx="48">
                        <c:v>-0.19333333333333513</c:v>
                      </c:pt>
                      <c:pt idx="49">
                        <c:v>-0.50333333333333385</c:v>
                      </c:pt>
                      <c:pt idx="50">
                        <c:v>-0.20333333333333314</c:v>
                      </c:pt>
                      <c:pt idx="51">
                        <c:v>-8.9999999999999858E-2</c:v>
                      </c:pt>
                      <c:pt idx="52">
                        <c:v>-6.0000000000002274E-2</c:v>
                      </c:pt>
                      <c:pt idx="53">
                        <c:v>0.28999999999999915</c:v>
                      </c:pt>
                      <c:pt idx="54">
                        <c:v>4.6666666666666856E-2</c:v>
                      </c:pt>
                      <c:pt idx="55">
                        <c:v>0.55333333333333456</c:v>
                      </c:pt>
                      <c:pt idx="56">
                        <c:v>0.81333333333333258</c:v>
                      </c:pt>
                      <c:pt idx="57">
                        <c:v>0.70666666666667055</c:v>
                      </c:pt>
                      <c:pt idx="58">
                        <c:v>1.2966666666666669</c:v>
                      </c:pt>
                      <c:pt idx="59">
                        <c:v>0.69666666666666188</c:v>
                      </c:pt>
                      <c:pt idx="60">
                        <c:v>0.6666666666666714</c:v>
                      </c:pt>
                      <c:pt idx="61">
                        <c:v>-0.46333333333333471</c:v>
                      </c:pt>
                      <c:pt idx="62">
                        <c:v>-0.4966666666666697</c:v>
                      </c:pt>
                      <c:pt idx="63">
                        <c:v>-0.2099999999999973</c:v>
                      </c:pt>
                      <c:pt idx="64">
                        <c:v>-0.35666666666666558</c:v>
                      </c:pt>
                      <c:pt idx="65">
                        <c:v>2.3333333333329875E-2</c:v>
                      </c:pt>
                      <c:pt idx="66">
                        <c:v>9.3333333333337265E-2</c:v>
                      </c:pt>
                      <c:pt idx="67">
                        <c:v>0.4166666666666643</c:v>
                      </c:pt>
                      <c:pt idx="68">
                        <c:v>-0.12333333333333485</c:v>
                      </c:pt>
                      <c:pt idx="69">
                        <c:v>-0.35999999999999943</c:v>
                      </c:pt>
                      <c:pt idx="70">
                        <c:v>-0.34999999999999787</c:v>
                      </c:pt>
                      <c:pt idx="71">
                        <c:v>-0.28666666666666529</c:v>
                      </c:pt>
                      <c:pt idx="72">
                        <c:v>-0.59333333333333371</c:v>
                      </c:pt>
                      <c:pt idx="73">
                        <c:v>-0.10999999999999943</c:v>
                      </c:pt>
                      <c:pt idx="74">
                        <c:v>0.11333333333333329</c:v>
                      </c:pt>
                      <c:pt idx="75">
                        <c:v>-0.93333333333333357</c:v>
                      </c:pt>
                      <c:pt idx="76">
                        <c:v>-1.5066666666666677</c:v>
                      </c:pt>
                      <c:pt idx="77">
                        <c:v>-1.5933333333333337</c:v>
                      </c:pt>
                      <c:pt idx="78">
                        <c:v>1.3333333333331865E-2</c:v>
                      </c:pt>
                      <c:pt idx="79">
                        <c:v>0.18666666666667098</c:v>
                      </c:pt>
                      <c:pt idx="80">
                        <c:v>0.49333333333333229</c:v>
                      </c:pt>
                      <c:pt idx="81">
                        <c:v>0.23666666666666458</c:v>
                      </c:pt>
                      <c:pt idx="82">
                        <c:v>0.30999999999999872</c:v>
                      </c:pt>
                      <c:pt idx="83">
                        <c:v>0.16333333333333755</c:v>
                      </c:pt>
                      <c:pt idx="84">
                        <c:v>6.9999999999996732E-2</c:v>
                      </c:pt>
                      <c:pt idx="85">
                        <c:v>-0.28333333333333144</c:v>
                      </c:pt>
                      <c:pt idx="86">
                        <c:v>-8.3333333333332149E-2</c:v>
                      </c:pt>
                      <c:pt idx="87">
                        <c:v>0.10666666666666202</c:v>
                      </c:pt>
                      <c:pt idx="88">
                        <c:v>0.28000000000000114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A-A0D3-4A67-8356-52C2ACC103A2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Second Deriv. Window</c:v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SPCE_cuphandle!$A$2:$A$93</c15:sqref>
                        </c15:formulaRef>
                      </c:ext>
                    </c:extLst>
                    <c:numCache>
                      <c:formatCode>m/d/yyyy</c:formatCode>
                      <c:ptCount val="92"/>
                      <c:pt idx="0">
                        <c:v>44215</c:v>
                      </c:pt>
                      <c:pt idx="1">
                        <c:v>44211</c:v>
                      </c:pt>
                      <c:pt idx="2">
                        <c:v>44210</c:v>
                      </c:pt>
                      <c:pt idx="3">
                        <c:v>44209</c:v>
                      </c:pt>
                      <c:pt idx="4">
                        <c:v>44208</c:v>
                      </c:pt>
                      <c:pt idx="5">
                        <c:v>44207</c:v>
                      </c:pt>
                      <c:pt idx="6">
                        <c:v>44204</c:v>
                      </c:pt>
                      <c:pt idx="7">
                        <c:v>44203</c:v>
                      </c:pt>
                      <c:pt idx="8">
                        <c:v>44202</c:v>
                      </c:pt>
                      <c:pt idx="9">
                        <c:v>44201</c:v>
                      </c:pt>
                      <c:pt idx="10">
                        <c:v>44200</c:v>
                      </c:pt>
                      <c:pt idx="11">
                        <c:v>44196</c:v>
                      </c:pt>
                      <c:pt idx="12">
                        <c:v>44195</c:v>
                      </c:pt>
                      <c:pt idx="13">
                        <c:v>44194</c:v>
                      </c:pt>
                      <c:pt idx="14">
                        <c:v>44193</c:v>
                      </c:pt>
                      <c:pt idx="15">
                        <c:v>44189</c:v>
                      </c:pt>
                      <c:pt idx="16">
                        <c:v>44188</c:v>
                      </c:pt>
                      <c:pt idx="17">
                        <c:v>44187</c:v>
                      </c:pt>
                      <c:pt idx="18">
                        <c:v>44186</c:v>
                      </c:pt>
                      <c:pt idx="19">
                        <c:v>44183</c:v>
                      </c:pt>
                      <c:pt idx="20">
                        <c:v>44182</c:v>
                      </c:pt>
                      <c:pt idx="21">
                        <c:v>44181</c:v>
                      </c:pt>
                      <c:pt idx="22">
                        <c:v>44180</c:v>
                      </c:pt>
                      <c:pt idx="23">
                        <c:v>44179</c:v>
                      </c:pt>
                      <c:pt idx="24">
                        <c:v>44176</c:v>
                      </c:pt>
                      <c:pt idx="25">
                        <c:v>44175</c:v>
                      </c:pt>
                      <c:pt idx="26">
                        <c:v>44174</c:v>
                      </c:pt>
                      <c:pt idx="27">
                        <c:v>44173</c:v>
                      </c:pt>
                      <c:pt idx="28">
                        <c:v>44172</c:v>
                      </c:pt>
                      <c:pt idx="29">
                        <c:v>44169</c:v>
                      </c:pt>
                      <c:pt idx="30">
                        <c:v>44168</c:v>
                      </c:pt>
                      <c:pt idx="31">
                        <c:v>44167</c:v>
                      </c:pt>
                      <c:pt idx="32">
                        <c:v>44166</c:v>
                      </c:pt>
                      <c:pt idx="33">
                        <c:v>44165</c:v>
                      </c:pt>
                      <c:pt idx="34">
                        <c:v>44162</c:v>
                      </c:pt>
                      <c:pt idx="35">
                        <c:v>44160</c:v>
                      </c:pt>
                      <c:pt idx="36">
                        <c:v>44159</c:v>
                      </c:pt>
                      <c:pt idx="37">
                        <c:v>44158</c:v>
                      </c:pt>
                      <c:pt idx="38">
                        <c:v>44155</c:v>
                      </c:pt>
                      <c:pt idx="39">
                        <c:v>44154</c:v>
                      </c:pt>
                      <c:pt idx="40">
                        <c:v>44153</c:v>
                      </c:pt>
                      <c:pt idx="41">
                        <c:v>44152</c:v>
                      </c:pt>
                      <c:pt idx="42">
                        <c:v>44151</c:v>
                      </c:pt>
                      <c:pt idx="43">
                        <c:v>44148</c:v>
                      </c:pt>
                      <c:pt idx="44">
                        <c:v>44147</c:v>
                      </c:pt>
                      <c:pt idx="45">
                        <c:v>44146</c:v>
                      </c:pt>
                      <c:pt idx="46">
                        <c:v>44145</c:v>
                      </c:pt>
                      <c:pt idx="47">
                        <c:v>44144</c:v>
                      </c:pt>
                      <c:pt idx="48">
                        <c:v>44141</c:v>
                      </c:pt>
                      <c:pt idx="49">
                        <c:v>44140</c:v>
                      </c:pt>
                      <c:pt idx="50">
                        <c:v>44139</c:v>
                      </c:pt>
                      <c:pt idx="51">
                        <c:v>44138</c:v>
                      </c:pt>
                      <c:pt idx="52">
                        <c:v>44137</c:v>
                      </c:pt>
                      <c:pt idx="53">
                        <c:v>44134</c:v>
                      </c:pt>
                      <c:pt idx="54">
                        <c:v>44133</c:v>
                      </c:pt>
                      <c:pt idx="55">
                        <c:v>44132</c:v>
                      </c:pt>
                      <c:pt idx="56">
                        <c:v>44131</c:v>
                      </c:pt>
                      <c:pt idx="57">
                        <c:v>44130</c:v>
                      </c:pt>
                      <c:pt idx="58">
                        <c:v>44127</c:v>
                      </c:pt>
                      <c:pt idx="59">
                        <c:v>44126</c:v>
                      </c:pt>
                      <c:pt idx="60">
                        <c:v>44125</c:v>
                      </c:pt>
                      <c:pt idx="61">
                        <c:v>44124</c:v>
                      </c:pt>
                      <c:pt idx="62">
                        <c:v>44123</c:v>
                      </c:pt>
                      <c:pt idx="63">
                        <c:v>44120</c:v>
                      </c:pt>
                      <c:pt idx="64">
                        <c:v>44119</c:v>
                      </c:pt>
                      <c:pt idx="65">
                        <c:v>44118</c:v>
                      </c:pt>
                      <c:pt idx="66">
                        <c:v>44117</c:v>
                      </c:pt>
                      <c:pt idx="67">
                        <c:v>44116</c:v>
                      </c:pt>
                      <c:pt idx="68">
                        <c:v>44113</c:v>
                      </c:pt>
                      <c:pt idx="69">
                        <c:v>44112</c:v>
                      </c:pt>
                      <c:pt idx="70">
                        <c:v>44111</c:v>
                      </c:pt>
                      <c:pt idx="71">
                        <c:v>44110</c:v>
                      </c:pt>
                      <c:pt idx="72">
                        <c:v>44109</c:v>
                      </c:pt>
                      <c:pt idx="73">
                        <c:v>44106</c:v>
                      </c:pt>
                      <c:pt idx="74">
                        <c:v>44105</c:v>
                      </c:pt>
                      <c:pt idx="75">
                        <c:v>44104</c:v>
                      </c:pt>
                      <c:pt idx="76">
                        <c:v>44103</c:v>
                      </c:pt>
                      <c:pt idx="77">
                        <c:v>44102</c:v>
                      </c:pt>
                      <c:pt idx="78">
                        <c:v>44099</c:v>
                      </c:pt>
                      <c:pt idx="79">
                        <c:v>44098</c:v>
                      </c:pt>
                      <c:pt idx="80">
                        <c:v>44097</c:v>
                      </c:pt>
                      <c:pt idx="81">
                        <c:v>44096</c:v>
                      </c:pt>
                      <c:pt idx="82">
                        <c:v>44095</c:v>
                      </c:pt>
                      <c:pt idx="83">
                        <c:v>44092</c:v>
                      </c:pt>
                      <c:pt idx="84">
                        <c:v>44091</c:v>
                      </c:pt>
                      <c:pt idx="85">
                        <c:v>44090</c:v>
                      </c:pt>
                      <c:pt idx="86">
                        <c:v>44089</c:v>
                      </c:pt>
                      <c:pt idx="87">
                        <c:v>44088</c:v>
                      </c:pt>
                      <c:pt idx="88">
                        <c:v>44085</c:v>
                      </c:pt>
                      <c:pt idx="89">
                        <c:v>44084</c:v>
                      </c:pt>
                      <c:pt idx="90">
                        <c:v>44083</c:v>
                      </c:pt>
                      <c:pt idx="91">
                        <c:v>44082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SPCE_cuphandle!$O$2:$O$89</c15:sqref>
                        </c15:formulaRef>
                      </c:ext>
                    </c:extLst>
                    <c:numCache>
                      <c:formatCode>General</c:formatCode>
                      <c:ptCount val="88"/>
                      <c:pt idx="0">
                        <c:v>0.10666666666666558</c:v>
                      </c:pt>
                      <c:pt idx="1">
                        <c:v>-1.4466666666666654</c:v>
                      </c:pt>
                      <c:pt idx="2">
                        <c:v>1.923333333333332</c:v>
                      </c:pt>
                      <c:pt idx="3">
                        <c:v>0.27000000000000313</c:v>
                      </c:pt>
                      <c:pt idx="4">
                        <c:v>0.25999999999999801</c:v>
                      </c:pt>
                      <c:pt idx="5">
                        <c:v>-0.11666666666666714</c:v>
                      </c:pt>
                      <c:pt idx="6">
                        <c:v>-0.27333333333333343</c:v>
                      </c:pt>
                      <c:pt idx="7">
                        <c:v>0.49333333333333584</c:v>
                      </c:pt>
                      <c:pt idx="8">
                        <c:v>0.10999999999999943</c:v>
                      </c:pt>
                      <c:pt idx="9">
                        <c:v>0.21666666666666501</c:v>
                      </c:pt>
                      <c:pt idx="10">
                        <c:v>-0.10999999999999943</c:v>
                      </c:pt>
                      <c:pt idx="11">
                        <c:v>0.54333333333332945</c:v>
                      </c:pt>
                      <c:pt idx="12">
                        <c:v>0.4100000000000108</c:v>
                      </c:pt>
                      <c:pt idx="13">
                        <c:v>-0.51333333333334608</c:v>
                      </c:pt>
                      <c:pt idx="14">
                        <c:v>-0.85999999999999233</c:v>
                      </c:pt>
                      <c:pt idx="15">
                        <c:v>-0.64333333333333798</c:v>
                      </c:pt>
                      <c:pt idx="16">
                        <c:v>1.0033333333333374</c:v>
                      </c:pt>
                      <c:pt idx="17">
                        <c:v>0.34333333333333016</c:v>
                      </c:pt>
                      <c:pt idx="18">
                        <c:v>-0.12999999999999545</c:v>
                      </c:pt>
                      <c:pt idx="19">
                        <c:v>9.9999999999994316E-2</c:v>
                      </c:pt>
                      <c:pt idx="20">
                        <c:v>1.7366666666666717</c:v>
                      </c:pt>
                      <c:pt idx="21">
                        <c:v>0.49666666666666259</c:v>
                      </c:pt>
                      <c:pt idx="22">
                        <c:v>-0.66999999999999815</c:v>
                      </c:pt>
                      <c:pt idx="23">
                        <c:v>-1.4366666666666639</c:v>
                      </c:pt>
                      <c:pt idx="24">
                        <c:v>8.9999999999996305E-2</c:v>
                      </c:pt>
                      <c:pt idx="25">
                        <c:v>-1.6700000000000053</c:v>
                      </c:pt>
                      <c:pt idx="26">
                        <c:v>-0.63999999999999346</c:v>
                      </c:pt>
                      <c:pt idx="27">
                        <c:v>-0.32000000000000028</c:v>
                      </c:pt>
                      <c:pt idx="28">
                        <c:v>1.9600000000000044</c:v>
                      </c:pt>
                      <c:pt idx="29">
                        <c:v>-0.36000000000000298</c:v>
                      </c:pt>
                      <c:pt idx="30">
                        <c:v>0.36999999999999389</c:v>
                      </c:pt>
                      <c:pt idx="31">
                        <c:v>-0.2966666666666633</c:v>
                      </c:pt>
                      <c:pt idx="32">
                        <c:v>-0.13333333333332931</c:v>
                      </c:pt>
                      <c:pt idx="33">
                        <c:v>-0.2033333333333367</c:v>
                      </c:pt>
                      <c:pt idx="34">
                        <c:v>-0.50999999999999801</c:v>
                      </c:pt>
                      <c:pt idx="35">
                        <c:v>0.9599999999999973</c:v>
                      </c:pt>
                      <c:pt idx="36">
                        <c:v>-0.46999999999999886</c:v>
                      </c:pt>
                      <c:pt idx="37">
                        <c:v>0.12000000000000455</c:v>
                      </c:pt>
                      <c:pt idx="38">
                        <c:v>-0.40000000000000924</c:v>
                      </c:pt>
                      <c:pt idx="39">
                        <c:v>0.94666666666667254</c:v>
                      </c:pt>
                      <c:pt idx="40">
                        <c:v>0.19666666666666544</c:v>
                      </c:pt>
                      <c:pt idx="41">
                        <c:v>0.25999999999999801</c:v>
                      </c:pt>
                      <c:pt idx="42">
                        <c:v>-0.94999999999999574</c:v>
                      </c:pt>
                      <c:pt idx="43">
                        <c:v>0.2099999999999973</c:v>
                      </c:pt>
                      <c:pt idx="44">
                        <c:v>-0.57999999999999829</c:v>
                      </c:pt>
                      <c:pt idx="45">
                        <c:v>0.53666666666666529</c:v>
                      </c:pt>
                      <c:pt idx="46">
                        <c:v>-0.3733333333333313</c:v>
                      </c:pt>
                      <c:pt idx="47">
                        <c:v>0.61333333333332973</c:v>
                      </c:pt>
                      <c:pt idx="48">
                        <c:v>-0.30999999999999872</c:v>
                      </c:pt>
                      <c:pt idx="49">
                        <c:v>0.30000000000000071</c:v>
                      </c:pt>
                      <c:pt idx="50">
                        <c:v>0.11333333333333329</c:v>
                      </c:pt>
                      <c:pt idx="51">
                        <c:v>2.9999999999997584E-2</c:v>
                      </c:pt>
                      <c:pt idx="52">
                        <c:v>0.35000000000000142</c:v>
                      </c:pt>
                      <c:pt idx="53">
                        <c:v>-0.24333333333333229</c:v>
                      </c:pt>
                      <c:pt idx="54">
                        <c:v>0.50666666666666771</c:v>
                      </c:pt>
                      <c:pt idx="55">
                        <c:v>0.25999999999999801</c:v>
                      </c:pt>
                      <c:pt idx="56">
                        <c:v>-0.10666666666666202</c:v>
                      </c:pt>
                      <c:pt idx="57">
                        <c:v>0.58999999999999631</c:v>
                      </c:pt>
                      <c:pt idx="58">
                        <c:v>-0.60000000000000497</c:v>
                      </c:pt>
                      <c:pt idx="59">
                        <c:v>-2.9999999999990479E-2</c:v>
                      </c:pt>
                      <c:pt idx="60">
                        <c:v>-1.1300000000000061</c:v>
                      </c:pt>
                      <c:pt idx="61">
                        <c:v>-3.3333333333334991E-2</c:v>
                      </c:pt>
                      <c:pt idx="62">
                        <c:v>0.2866666666666724</c:v>
                      </c:pt>
                      <c:pt idx="63">
                        <c:v>-0.14666666666666828</c:v>
                      </c:pt>
                      <c:pt idx="64">
                        <c:v>0.37999999999999545</c:v>
                      </c:pt>
                      <c:pt idx="65">
                        <c:v>7.000000000000739E-2</c:v>
                      </c:pt>
                      <c:pt idx="66">
                        <c:v>0.32333333333332703</c:v>
                      </c:pt>
                      <c:pt idx="67">
                        <c:v>-0.53999999999999915</c:v>
                      </c:pt>
                      <c:pt idx="68">
                        <c:v>-0.23666666666666458</c:v>
                      </c:pt>
                      <c:pt idx="69">
                        <c:v>1.0000000000001563E-2</c:v>
                      </c:pt>
                      <c:pt idx="70">
                        <c:v>6.3333333333332575E-2</c:v>
                      </c:pt>
                      <c:pt idx="71">
                        <c:v>-0.30666666666666842</c:v>
                      </c:pt>
                      <c:pt idx="72">
                        <c:v>0.48333333333333428</c:v>
                      </c:pt>
                      <c:pt idx="73">
                        <c:v>0.22333333333333272</c:v>
                      </c:pt>
                      <c:pt idx="74">
                        <c:v>-1.0466666666666669</c:v>
                      </c:pt>
                      <c:pt idx="75">
                        <c:v>-0.57333333333333414</c:v>
                      </c:pt>
                      <c:pt idx="76">
                        <c:v>-8.6666666666666003E-2</c:v>
                      </c:pt>
                      <c:pt idx="77">
                        <c:v>1.6066666666666656</c:v>
                      </c:pt>
                      <c:pt idx="78">
                        <c:v>0.17333333333333911</c:v>
                      </c:pt>
                      <c:pt idx="79">
                        <c:v>0.30666666666666131</c:v>
                      </c:pt>
                      <c:pt idx="80">
                        <c:v>-0.25666666666666771</c:v>
                      </c:pt>
                      <c:pt idx="81">
                        <c:v>7.3333333333334139E-2</c:v>
                      </c:pt>
                      <c:pt idx="82">
                        <c:v>-0.14666666666666117</c:v>
                      </c:pt>
                      <c:pt idx="83">
                        <c:v>-9.3333333333340818E-2</c:v>
                      </c:pt>
                      <c:pt idx="84">
                        <c:v>-0.35333333333332817</c:v>
                      </c:pt>
                      <c:pt idx="85">
                        <c:v>0.19999999999999929</c:v>
                      </c:pt>
                      <c:pt idx="86">
                        <c:v>0.18999999999999417</c:v>
                      </c:pt>
                      <c:pt idx="87">
                        <c:v>0.17333333333333911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B-A0D3-4A67-8356-52C2ACC103A2}"/>
                  </c:ext>
                </c:extLst>
              </c15:ser>
            </c15:filteredScatterSeries>
          </c:ext>
        </c:extLst>
      </c:scatterChart>
      <c:valAx>
        <c:axId val="748201823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crossAx val="748202239"/>
        <c:crosses val="autoZero"/>
        <c:crossBetween val="midCat"/>
      </c:valAx>
      <c:valAx>
        <c:axId val="748202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2018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57150</xdr:colOff>
      <xdr:row>1</xdr:row>
      <xdr:rowOff>25400</xdr:rowOff>
    </xdr:from>
    <xdr:to>
      <xdr:col>27</xdr:col>
      <xdr:colOff>139699</xdr:colOff>
      <xdr:row>19</xdr:row>
      <xdr:rowOff>165099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CBCAFC0-5C60-4D2C-B1E0-08AD3F2D8E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93"/>
  <sheetViews>
    <sheetView tabSelected="1" workbookViewId="0">
      <selection activeCell="K6" sqref="K6"/>
    </sheetView>
  </sheetViews>
  <sheetFormatPr defaultRowHeight="14.5" x14ac:dyDescent="0.35"/>
  <cols>
    <col min="1" max="1" width="12.26953125" customWidth="1"/>
    <col min="2" max="4" width="0" hidden="1" customWidth="1"/>
    <col min="6" max="6" width="0" hidden="1" customWidth="1"/>
    <col min="7" max="7" width="13" customWidth="1"/>
    <col min="8" max="8" width="11.7265625" customWidth="1"/>
    <col min="12" max="12" width="12.81640625" customWidth="1"/>
    <col min="13" max="13" width="11.26953125" customWidth="1"/>
  </cols>
  <sheetData>
    <row r="1" spans="1:15" s="2" customFormat="1" ht="58" x14ac:dyDescent="0.3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</row>
    <row r="2" spans="1:15" x14ac:dyDescent="0.35">
      <c r="A2" s="1">
        <v>44215</v>
      </c>
      <c r="B2">
        <v>32.549999999999997</v>
      </c>
      <c r="C2">
        <v>32.58</v>
      </c>
      <c r="D2">
        <v>30.5</v>
      </c>
      <c r="E2">
        <v>31.65</v>
      </c>
      <c r="F2">
        <v>20015303</v>
      </c>
      <c r="G2">
        <f>AVERAGE(E2:E4)</f>
        <v>31.703333333333333</v>
      </c>
      <c r="H2">
        <f>STDEVA(E2:E4)</f>
        <v>1.3008202540448603</v>
      </c>
      <c r="I2">
        <f>AVERAGE(E2:E93)</f>
        <v>22.696413043478266</v>
      </c>
      <c r="J2">
        <f>AVERAGE(G2:G91)</f>
        <v>22.659148148148144</v>
      </c>
      <c r="K2">
        <f>AVERAGE(H2:H91)</f>
        <v>0.86558214100762032</v>
      </c>
      <c r="L2">
        <f>G2/$J$2</f>
        <v>1.399140564599042</v>
      </c>
      <c r="M2">
        <f>H2/$K$2</f>
        <v>1.5028270483152313</v>
      </c>
      <c r="N2">
        <f>G3-G2</f>
        <v>-1.3633333333333333</v>
      </c>
      <c r="O2">
        <f>N3-N2</f>
        <v>0.10666666666666558</v>
      </c>
    </row>
    <row r="3" spans="1:15" x14ac:dyDescent="0.35">
      <c r="A3" s="1">
        <v>44211</v>
      </c>
      <c r="B3">
        <v>31.93</v>
      </c>
      <c r="C3">
        <v>32.479999999999997</v>
      </c>
      <c r="D3">
        <v>29.92</v>
      </c>
      <c r="E3">
        <v>30.43</v>
      </c>
      <c r="F3">
        <v>19145568</v>
      </c>
      <c r="G3">
        <f t="shared" ref="G3:G66" si="0">AVERAGE(E3:E5)</f>
        <v>30.34</v>
      </c>
      <c r="H3">
        <f t="shared" ref="H3:H66" si="1">STDEVA(E3:E5)</f>
        <v>2.7361103778904838</v>
      </c>
      <c r="L3">
        <f t="shared" ref="L3:L66" si="2">G3/$J$2</f>
        <v>1.3389735484155694</v>
      </c>
      <c r="M3">
        <f t="shared" ref="M3:M66" si="3">H3/$K$2</f>
        <v>3.1610060423674984</v>
      </c>
      <c r="N3">
        <f t="shared" ref="N3:N66" si="4">G4-G3</f>
        <v>-1.2566666666666677</v>
      </c>
      <c r="O3">
        <f t="shared" ref="O3:O66" si="5">N4-N3</f>
        <v>-1.4466666666666654</v>
      </c>
    </row>
    <row r="4" spans="1:15" x14ac:dyDescent="0.35">
      <c r="A4" s="1">
        <v>44210</v>
      </c>
      <c r="B4">
        <v>31.03</v>
      </c>
      <c r="C4">
        <v>33.72</v>
      </c>
      <c r="D4">
        <v>30.190100000000001</v>
      </c>
      <c r="E4">
        <v>33.03</v>
      </c>
      <c r="F4">
        <v>58072000</v>
      </c>
      <c r="G4">
        <f t="shared" si="0"/>
        <v>29.083333333333332</v>
      </c>
      <c r="H4">
        <f t="shared" si="1"/>
        <v>3.4474096555723315</v>
      </c>
      <c r="L4">
        <f t="shared" si="2"/>
        <v>1.2835139760410725</v>
      </c>
      <c r="M4">
        <f t="shared" si="3"/>
        <v>3.9827643065269545</v>
      </c>
      <c r="N4">
        <f t="shared" si="4"/>
        <v>-2.7033333333333331</v>
      </c>
      <c r="O4">
        <f t="shared" si="5"/>
        <v>1.923333333333332</v>
      </c>
    </row>
    <row r="5" spans="1:15" x14ac:dyDescent="0.35">
      <c r="A5" s="1">
        <v>44209</v>
      </c>
      <c r="B5">
        <v>26.56</v>
      </c>
      <c r="C5">
        <v>27.85</v>
      </c>
      <c r="D5">
        <v>26.25</v>
      </c>
      <c r="E5">
        <v>27.56</v>
      </c>
      <c r="F5">
        <v>15018794</v>
      </c>
      <c r="G5">
        <f t="shared" si="0"/>
        <v>26.38</v>
      </c>
      <c r="H5">
        <f t="shared" si="1"/>
        <v>1.3420879255846079</v>
      </c>
      <c r="L5">
        <f t="shared" si="2"/>
        <v>1.1642096970073408</v>
      </c>
      <c r="M5">
        <f t="shared" si="3"/>
        <v>1.5505032532467564</v>
      </c>
      <c r="N5">
        <f t="shared" si="4"/>
        <v>-0.78000000000000114</v>
      </c>
      <c r="O5">
        <f t="shared" si="5"/>
        <v>0.27000000000000313</v>
      </c>
    </row>
    <row r="6" spans="1:15" x14ac:dyDescent="0.35">
      <c r="A6" s="1">
        <v>44208</v>
      </c>
      <c r="B6">
        <v>25.15</v>
      </c>
      <c r="C6">
        <v>26.73</v>
      </c>
      <c r="D6">
        <v>24.99</v>
      </c>
      <c r="E6">
        <v>26.66</v>
      </c>
      <c r="F6">
        <v>11988544</v>
      </c>
      <c r="G6">
        <f t="shared" si="0"/>
        <v>25.599999999999998</v>
      </c>
      <c r="H6">
        <f t="shared" si="1"/>
        <v>0.93016127633867851</v>
      </c>
      <c r="L6">
        <f t="shared" si="2"/>
        <v>1.1297865141542047</v>
      </c>
      <c r="M6">
        <f t="shared" si="3"/>
        <v>1.0746077492494033</v>
      </c>
      <c r="N6">
        <f t="shared" si="4"/>
        <v>-0.50999999999999801</v>
      </c>
      <c r="O6">
        <f t="shared" si="5"/>
        <v>0.25999999999999801</v>
      </c>
    </row>
    <row r="7" spans="1:15" x14ac:dyDescent="0.35">
      <c r="A7" s="1">
        <v>44207</v>
      </c>
      <c r="B7">
        <v>24.97</v>
      </c>
      <c r="C7">
        <v>25.7</v>
      </c>
      <c r="D7">
        <v>24.43</v>
      </c>
      <c r="E7">
        <v>24.92</v>
      </c>
      <c r="F7">
        <v>6491402</v>
      </c>
      <c r="G7">
        <f t="shared" si="0"/>
        <v>25.09</v>
      </c>
      <c r="H7">
        <f t="shared" si="1"/>
        <v>0.15394804318340496</v>
      </c>
      <c r="L7">
        <f t="shared" si="2"/>
        <v>1.1072790484425392</v>
      </c>
      <c r="M7">
        <f t="shared" si="3"/>
        <v>0.17785492085614743</v>
      </c>
      <c r="N7">
        <f t="shared" si="4"/>
        <v>-0.25</v>
      </c>
      <c r="O7">
        <f t="shared" si="5"/>
        <v>-0.11666666666666714</v>
      </c>
    </row>
    <row r="8" spans="1:15" x14ac:dyDescent="0.35">
      <c r="A8" s="1">
        <v>44204</v>
      </c>
      <c r="B8">
        <v>25.66</v>
      </c>
      <c r="C8">
        <v>25.86</v>
      </c>
      <c r="D8">
        <v>24.8</v>
      </c>
      <c r="E8">
        <v>25.22</v>
      </c>
      <c r="F8">
        <v>8509136</v>
      </c>
      <c r="G8">
        <f t="shared" si="0"/>
        <v>24.84</v>
      </c>
      <c r="H8">
        <f t="shared" si="1"/>
        <v>0.5819793810780568</v>
      </c>
      <c r="L8">
        <f t="shared" si="2"/>
        <v>1.0962459770152519</v>
      </c>
      <c r="M8">
        <f t="shared" si="3"/>
        <v>0.67235604052617948</v>
      </c>
      <c r="N8">
        <f t="shared" si="4"/>
        <v>-0.36666666666666714</v>
      </c>
      <c r="O8">
        <f t="shared" si="5"/>
        <v>-0.27333333333333343</v>
      </c>
    </row>
    <row r="9" spans="1:15" x14ac:dyDescent="0.35">
      <c r="A9" s="1">
        <v>44203</v>
      </c>
      <c r="B9">
        <v>25.25</v>
      </c>
      <c r="C9">
        <v>25.96</v>
      </c>
      <c r="D9">
        <v>24.69</v>
      </c>
      <c r="E9">
        <v>25.13</v>
      </c>
      <c r="F9">
        <v>13066465</v>
      </c>
      <c r="G9">
        <f t="shared" si="0"/>
        <v>24.473333333333333</v>
      </c>
      <c r="H9">
        <f t="shared" si="1"/>
        <v>0.56923925842595557</v>
      </c>
      <c r="L9">
        <f t="shared" si="2"/>
        <v>1.0800641389218975</v>
      </c>
      <c r="M9">
        <f t="shared" si="3"/>
        <v>0.65763748055534821</v>
      </c>
      <c r="N9">
        <f t="shared" si="4"/>
        <v>-0.64000000000000057</v>
      </c>
      <c r="O9">
        <f t="shared" si="5"/>
        <v>0.49333333333333584</v>
      </c>
    </row>
    <row r="10" spans="1:15" x14ac:dyDescent="0.35">
      <c r="A10" s="1">
        <v>44202</v>
      </c>
      <c r="B10">
        <v>24.03</v>
      </c>
      <c r="C10">
        <v>24.93</v>
      </c>
      <c r="D10">
        <v>23.72</v>
      </c>
      <c r="E10">
        <v>24.17</v>
      </c>
      <c r="F10">
        <v>8053048</v>
      </c>
      <c r="G10">
        <f t="shared" si="0"/>
        <v>23.833333333333332</v>
      </c>
      <c r="H10">
        <f t="shared" si="1"/>
        <v>0.54040108561450328</v>
      </c>
      <c r="L10">
        <f t="shared" si="2"/>
        <v>1.0518194760680424</v>
      </c>
      <c r="M10">
        <f t="shared" si="3"/>
        <v>0.62432097430455857</v>
      </c>
      <c r="N10">
        <f t="shared" si="4"/>
        <v>-0.14666666666666472</v>
      </c>
      <c r="O10">
        <f t="shared" si="5"/>
        <v>0.10999999999999943</v>
      </c>
    </row>
    <row r="11" spans="1:15" x14ac:dyDescent="0.35">
      <c r="A11" s="1">
        <v>44201</v>
      </c>
      <c r="B11">
        <v>23.08</v>
      </c>
      <c r="C11">
        <v>24.48</v>
      </c>
      <c r="D11">
        <v>22.96</v>
      </c>
      <c r="E11">
        <v>24.12</v>
      </c>
      <c r="F11">
        <v>7564690</v>
      </c>
      <c r="G11">
        <f t="shared" si="0"/>
        <v>23.686666666666667</v>
      </c>
      <c r="H11">
        <f t="shared" si="1"/>
        <v>0.45654499595695208</v>
      </c>
      <c r="L11">
        <f t="shared" si="2"/>
        <v>1.0453467408307007</v>
      </c>
      <c r="M11">
        <f t="shared" si="3"/>
        <v>0.52744271667330156</v>
      </c>
      <c r="N11">
        <f t="shared" si="4"/>
        <v>-3.6666666666665293E-2</v>
      </c>
      <c r="O11">
        <f t="shared" si="5"/>
        <v>0.21666666666666501</v>
      </c>
    </row>
    <row r="12" spans="1:15" x14ac:dyDescent="0.35">
      <c r="A12" s="1">
        <v>44200</v>
      </c>
      <c r="B12">
        <v>23.96</v>
      </c>
      <c r="C12">
        <v>23.97</v>
      </c>
      <c r="D12">
        <v>22.88</v>
      </c>
      <c r="E12">
        <v>23.21</v>
      </c>
      <c r="F12">
        <v>7677728</v>
      </c>
      <c r="G12">
        <f t="shared" si="0"/>
        <v>23.650000000000002</v>
      </c>
      <c r="H12">
        <f t="shared" si="1"/>
        <v>0.40595566260368904</v>
      </c>
      <c r="L12">
        <f t="shared" si="2"/>
        <v>1.0437285570213652</v>
      </c>
      <c r="M12">
        <f t="shared" si="3"/>
        <v>0.46899727174490669</v>
      </c>
      <c r="N12">
        <f t="shared" si="4"/>
        <v>0.17999999999999972</v>
      </c>
      <c r="O12">
        <f t="shared" si="5"/>
        <v>-0.10999999999999943</v>
      </c>
    </row>
    <row r="13" spans="1:15" x14ac:dyDescent="0.35">
      <c r="A13" s="1">
        <v>44196</v>
      </c>
      <c r="B13">
        <v>24.09</v>
      </c>
      <c r="C13">
        <v>24.14</v>
      </c>
      <c r="D13">
        <v>23.2501</v>
      </c>
      <c r="E13">
        <v>23.73</v>
      </c>
      <c r="F13">
        <v>5721457</v>
      </c>
      <c r="G13">
        <f t="shared" si="0"/>
        <v>23.830000000000002</v>
      </c>
      <c r="H13">
        <f t="shared" si="1"/>
        <v>0.15620499351813386</v>
      </c>
      <c r="L13">
        <f t="shared" si="2"/>
        <v>1.0516723684490119</v>
      </c>
      <c r="M13">
        <f t="shared" si="3"/>
        <v>0.18046235720193615</v>
      </c>
      <c r="N13">
        <f t="shared" si="4"/>
        <v>7.0000000000000284E-2</v>
      </c>
      <c r="O13">
        <f t="shared" si="5"/>
        <v>0.54333333333332945</v>
      </c>
    </row>
    <row r="14" spans="1:15" x14ac:dyDescent="0.35">
      <c r="A14" s="1">
        <v>44195</v>
      </c>
      <c r="B14">
        <v>23.89</v>
      </c>
      <c r="C14">
        <v>24.38</v>
      </c>
      <c r="D14">
        <v>23.65</v>
      </c>
      <c r="E14">
        <v>24.01</v>
      </c>
      <c r="F14">
        <v>6347533</v>
      </c>
      <c r="G14">
        <f t="shared" si="0"/>
        <v>23.900000000000002</v>
      </c>
      <c r="H14">
        <f t="shared" si="1"/>
        <v>0.13453624047073795</v>
      </c>
      <c r="L14">
        <f t="shared" si="2"/>
        <v>1.0547616284486523</v>
      </c>
      <c r="M14">
        <f t="shared" si="3"/>
        <v>0.15542862323167264</v>
      </c>
      <c r="N14">
        <f t="shared" si="4"/>
        <v>0.61333333333332973</v>
      </c>
      <c r="O14">
        <f t="shared" si="5"/>
        <v>0.4100000000000108</v>
      </c>
    </row>
    <row r="15" spans="1:15" x14ac:dyDescent="0.35">
      <c r="A15" s="1">
        <v>44194</v>
      </c>
      <c r="B15">
        <v>24.04</v>
      </c>
      <c r="C15">
        <v>24.24</v>
      </c>
      <c r="D15">
        <v>23.01</v>
      </c>
      <c r="E15">
        <v>23.75</v>
      </c>
      <c r="F15">
        <v>9346754</v>
      </c>
      <c r="G15">
        <f t="shared" si="0"/>
        <v>24.513333333333332</v>
      </c>
      <c r="H15">
        <f t="shared" si="1"/>
        <v>1.1614789422685781</v>
      </c>
      <c r="L15">
        <f t="shared" si="2"/>
        <v>1.0818294303502634</v>
      </c>
      <c r="M15">
        <f t="shared" si="3"/>
        <v>1.3418471653268003</v>
      </c>
      <c r="N15">
        <f t="shared" si="4"/>
        <v>1.0233333333333405</v>
      </c>
      <c r="O15">
        <f t="shared" si="5"/>
        <v>-0.51333333333334608</v>
      </c>
    </row>
    <row r="16" spans="1:15" x14ac:dyDescent="0.35">
      <c r="A16" s="1">
        <v>44193</v>
      </c>
      <c r="B16">
        <v>26.16</v>
      </c>
      <c r="C16">
        <v>26.49</v>
      </c>
      <c r="D16">
        <v>23.61</v>
      </c>
      <c r="E16">
        <v>23.94</v>
      </c>
      <c r="F16">
        <v>16059936</v>
      </c>
      <c r="G16">
        <f t="shared" si="0"/>
        <v>25.536666666666672</v>
      </c>
      <c r="H16">
        <f t="shared" si="1"/>
        <v>1.4653441006580443</v>
      </c>
      <c r="L16">
        <f t="shared" si="2"/>
        <v>1.1269914693926257</v>
      </c>
      <c r="M16">
        <f t="shared" si="3"/>
        <v>1.6929001087663891</v>
      </c>
      <c r="N16">
        <f t="shared" si="4"/>
        <v>0.50999999999999446</v>
      </c>
      <c r="O16">
        <f t="shared" si="5"/>
        <v>-0.85999999999999233</v>
      </c>
    </row>
    <row r="17" spans="1:15" x14ac:dyDescent="0.35">
      <c r="A17" s="1">
        <v>44189</v>
      </c>
      <c r="B17">
        <v>26.81</v>
      </c>
      <c r="C17">
        <v>26.89</v>
      </c>
      <c r="D17">
        <v>25.26</v>
      </c>
      <c r="E17">
        <v>25.85</v>
      </c>
      <c r="F17">
        <v>8784466</v>
      </c>
      <c r="G17">
        <f t="shared" si="0"/>
        <v>26.046666666666667</v>
      </c>
      <c r="H17">
        <f t="shared" si="1"/>
        <v>0.6961561127601581</v>
      </c>
      <c r="L17">
        <f t="shared" si="2"/>
        <v>1.1494989351042912</v>
      </c>
      <c r="M17">
        <f t="shared" si="3"/>
        <v>0.80426348901996281</v>
      </c>
      <c r="N17">
        <f t="shared" si="4"/>
        <v>-0.34999999999999787</v>
      </c>
      <c r="O17">
        <f t="shared" si="5"/>
        <v>-0.64333333333333798</v>
      </c>
    </row>
    <row r="18" spans="1:15" x14ac:dyDescent="0.35">
      <c r="A18" s="1">
        <v>44188</v>
      </c>
      <c r="B18">
        <v>25.55</v>
      </c>
      <c r="C18">
        <v>27.44</v>
      </c>
      <c r="D18">
        <v>25.23</v>
      </c>
      <c r="E18">
        <v>26.82</v>
      </c>
      <c r="F18">
        <v>18300607</v>
      </c>
      <c r="G18">
        <f t="shared" si="0"/>
        <v>25.696666666666669</v>
      </c>
      <c r="H18">
        <f t="shared" si="1"/>
        <v>1.0288990880224034</v>
      </c>
      <c r="L18">
        <f t="shared" si="2"/>
        <v>1.1340526351060893</v>
      </c>
      <c r="M18">
        <f t="shared" si="3"/>
        <v>1.1886787391716129</v>
      </c>
      <c r="N18">
        <f t="shared" si="4"/>
        <v>-0.99333333333333584</v>
      </c>
      <c r="O18">
        <f t="shared" si="5"/>
        <v>1.0033333333333374</v>
      </c>
    </row>
    <row r="19" spans="1:15" x14ac:dyDescent="0.35">
      <c r="A19" s="1">
        <v>44187</v>
      </c>
      <c r="B19">
        <v>25.42</v>
      </c>
      <c r="C19">
        <v>25.94</v>
      </c>
      <c r="D19">
        <v>24.35</v>
      </c>
      <c r="E19">
        <v>25.47</v>
      </c>
      <c r="F19">
        <v>16954451</v>
      </c>
      <c r="G19">
        <f t="shared" si="0"/>
        <v>24.703333333333333</v>
      </c>
      <c r="H19">
        <f t="shared" si="1"/>
        <v>0.81928830904226424</v>
      </c>
      <c r="L19">
        <f t="shared" si="2"/>
        <v>1.0902145646350017</v>
      </c>
      <c r="M19">
        <f t="shared" si="3"/>
        <v>0.94651711285139772</v>
      </c>
      <c r="N19">
        <f t="shared" si="4"/>
        <v>1.0000000000001563E-2</v>
      </c>
      <c r="O19">
        <f t="shared" si="5"/>
        <v>0.34333333333333016</v>
      </c>
    </row>
    <row r="20" spans="1:15" x14ac:dyDescent="0.35">
      <c r="A20" s="1">
        <v>44186</v>
      </c>
      <c r="B20">
        <v>24.17</v>
      </c>
      <c r="C20">
        <v>25.305</v>
      </c>
      <c r="D20">
        <v>23.92</v>
      </c>
      <c r="E20">
        <v>24.8</v>
      </c>
      <c r="F20">
        <v>15844832</v>
      </c>
      <c r="G20">
        <f t="shared" si="0"/>
        <v>24.713333333333335</v>
      </c>
      <c r="H20">
        <f t="shared" si="1"/>
        <v>0.83338666496010938</v>
      </c>
      <c r="L20">
        <f t="shared" si="2"/>
        <v>1.0906558874920933</v>
      </c>
      <c r="M20">
        <f t="shared" si="3"/>
        <v>0.96280482865550765</v>
      </c>
      <c r="N20">
        <f t="shared" si="4"/>
        <v>0.35333333333333172</v>
      </c>
      <c r="O20">
        <f t="shared" si="5"/>
        <v>-0.12999999999999545</v>
      </c>
    </row>
    <row r="21" spans="1:15" x14ac:dyDescent="0.35">
      <c r="A21" s="1">
        <v>44183</v>
      </c>
      <c r="B21">
        <v>24</v>
      </c>
      <c r="C21">
        <v>25.33</v>
      </c>
      <c r="D21">
        <v>23.78</v>
      </c>
      <c r="E21">
        <v>23.84</v>
      </c>
      <c r="F21">
        <v>30338769</v>
      </c>
      <c r="G21">
        <f t="shared" si="0"/>
        <v>25.066666666666666</v>
      </c>
      <c r="H21">
        <f t="shared" si="1"/>
        <v>1.077466163428501</v>
      </c>
      <c r="L21">
        <f t="shared" si="2"/>
        <v>1.1062492951093257</v>
      </c>
      <c r="M21">
        <f t="shared" si="3"/>
        <v>1.2447878859587229</v>
      </c>
      <c r="N21">
        <f t="shared" si="4"/>
        <v>0.22333333333333627</v>
      </c>
      <c r="O21">
        <f t="shared" si="5"/>
        <v>9.9999999999994316E-2</v>
      </c>
    </row>
    <row r="22" spans="1:15" x14ac:dyDescent="0.35">
      <c r="A22" s="1">
        <v>44182</v>
      </c>
      <c r="B22">
        <v>25.65</v>
      </c>
      <c r="C22">
        <v>26.15</v>
      </c>
      <c r="D22">
        <v>24.7</v>
      </c>
      <c r="E22">
        <v>25.5</v>
      </c>
      <c r="F22">
        <v>18523734</v>
      </c>
      <c r="G22">
        <f t="shared" si="0"/>
        <v>25.290000000000003</v>
      </c>
      <c r="H22">
        <f t="shared" si="1"/>
        <v>0.69907081186386155</v>
      </c>
      <c r="L22">
        <f t="shared" si="2"/>
        <v>1.1161055055843689</v>
      </c>
      <c r="M22">
        <f t="shared" si="3"/>
        <v>0.80763081716320573</v>
      </c>
      <c r="N22">
        <f t="shared" si="4"/>
        <v>0.32333333333333059</v>
      </c>
      <c r="O22">
        <f t="shared" si="5"/>
        <v>1.7366666666666717</v>
      </c>
    </row>
    <row r="23" spans="1:15" x14ac:dyDescent="0.35">
      <c r="A23" s="1">
        <v>44181</v>
      </c>
      <c r="B23">
        <v>24.98</v>
      </c>
      <c r="C23">
        <v>26.865500000000001</v>
      </c>
      <c r="D23">
        <v>24.51</v>
      </c>
      <c r="E23">
        <v>25.86</v>
      </c>
      <c r="F23">
        <v>22639399</v>
      </c>
      <c r="G23">
        <f t="shared" si="0"/>
        <v>25.613333333333333</v>
      </c>
      <c r="H23">
        <f t="shared" si="1"/>
        <v>1.0030121302024868</v>
      </c>
      <c r="L23">
        <f t="shared" si="2"/>
        <v>1.1303749446303268</v>
      </c>
      <c r="M23">
        <f t="shared" si="3"/>
        <v>1.1587717475719692</v>
      </c>
      <c r="N23">
        <f t="shared" si="4"/>
        <v>2.0600000000000023</v>
      </c>
      <c r="O23">
        <f t="shared" si="5"/>
        <v>0.49666666666666259</v>
      </c>
    </row>
    <row r="24" spans="1:15" x14ac:dyDescent="0.35">
      <c r="A24" s="1">
        <v>44180</v>
      </c>
      <c r="B24">
        <v>26.91</v>
      </c>
      <c r="C24">
        <v>27.05</v>
      </c>
      <c r="D24">
        <v>24.38</v>
      </c>
      <c r="E24">
        <v>24.51</v>
      </c>
      <c r="F24">
        <v>30830899</v>
      </c>
      <c r="G24">
        <f t="shared" si="0"/>
        <v>27.673333333333336</v>
      </c>
      <c r="H24">
        <f t="shared" si="1"/>
        <v>3.9065628541382691</v>
      </c>
      <c r="L24">
        <f t="shared" si="2"/>
        <v>1.2212874531911733</v>
      </c>
      <c r="M24">
        <f t="shared" si="3"/>
        <v>4.513220258438623</v>
      </c>
      <c r="N24">
        <f t="shared" si="4"/>
        <v>2.5566666666666649</v>
      </c>
      <c r="O24">
        <f t="shared" si="5"/>
        <v>-0.66999999999999815</v>
      </c>
    </row>
    <row r="25" spans="1:15" x14ac:dyDescent="0.35">
      <c r="A25" s="1">
        <v>44179</v>
      </c>
      <c r="B25">
        <v>27.11</v>
      </c>
      <c r="C25">
        <v>28.83</v>
      </c>
      <c r="D25">
        <v>26.38</v>
      </c>
      <c r="E25">
        <v>26.47</v>
      </c>
      <c r="F25">
        <v>47120751</v>
      </c>
      <c r="G25">
        <f t="shared" si="0"/>
        <v>30.23</v>
      </c>
      <c r="H25">
        <f t="shared" si="1"/>
        <v>3.2570078292813487</v>
      </c>
      <c r="L25">
        <f t="shared" si="2"/>
        <v>1.3341189969875631</v>
      </c>
      <c r="M25">
        <f t="shared" si="3"/>
        <v>3.762794626850642</v>
      </c>
      <c r="N25">
        <f t="shared" si="4"/>
        <v>1.8866666666666667</v>
      </c>
      <c r="O25">
        <f t="shared" si="5"/>
        <v>-1.4366666666666639</v>
      </c>
    </row>
    <row r="26" spans="1:15" x14ac:dyDescent="0.35">
      <c r="A26" s="1">
        <v>44176</v>
      </c>
      <c r="B26">
        <v>31.95</v>
      </c>
      <c r="C26">
        <v>34.6</v>
      </c>
      <c r="D26">
        <v>31.86</v>
      </c>
      <c r="E26">
        <v>32.04</v>
      </c>
      <c r="F26">
        <v>18496934</v>
      </c>
      <c r="G26">
        <f t="shared" si="0"/>
        <v>32.116666666666667</v>
      </c>
      <c r="H26">
        <f t="shared" si="1"/>
        <v>7.0945988845976443E-2</v>
      </c>
      <c r="L26">
        <f t="shared" si="2"/>
        <v>1.4173819093588236</v>
      </c>
      <c r="M26">
        <f t="shared" si="3"/>
        <v>8.1963323276735514E-2</v>
      </c>
      <c r="N26">
        <f t="shared" si="4"/>
        <v>0.45000000000000284</v>
      </c>
      <c r="O26">
        <f t="shared" si="5"/>
        <v>8.9999999999996305E-2</v>
      </c>
    </row>
    <row r="27" spans="1:15" x14ac:dyDescent="0.35">
      <c r="A27" s="1">
        <v>44175</v>
      </c>
      <c r="B27">
        <v>30.23</v>
      </c>
      <c r="C27">
        <v>32.6</v>
      </c>
      <c r="D27">
        <v>29.61</v>
      </c>
      <c r="E27">
        <v>32.18</v>
      </c>
      <c r="F27">
        <v>14617662</v>
      </c>
      <c r="G27">
        <f t="shared" si="0"/>
        <v>32.56666666666667</v>
      </c>
      <c r="H27">
        <f t="shared" si="1"/>
        <v>0.71346571980252338</v>
      </c>
      <c r="L27">
        <f t="shared" si="2"/>
        <v>1.4372414379279406</v>
      </c>
      <c r="M27">
        <f t="shared" si="3"/>
        <v>0.82426113710246041</v>
      </c>
      <c r="N27">
        <f t="shared" si="4"/>
        <v>0.53999999999999915</v>
      </c>
      <c r="O27">
        <f t="shared" si="5"/>
        <v>-1.6700000000000053</v>
      </c>
    </row>
    <row r="28" spans="1:15" x14ac:dyDescent="0.35">
      <c r="A28" s="1">
        <v>44174</v>
      </c>
      <c r="B28">
        <v>34</v>
      </c>
      <c r="C28">
        <v>35.82</v>
      </c>
      <c r="D28">
        <v>30.51</v>
      </c>
      <c r="E28">
        <v>32.130000000000003</v>
      </c>
      <c r="F28">
        <v>25956772</v>
      </c>
      <c r="G28">
        <f t="shared" si="0"/>
        <v>33.106666666666669</v>
      </c>
      <c r="H28">
        <f t="shared" si="1"/>
        <v>0.87030645943445062</v>
      </c>
      <c r="L28">
        <f t="shared" si="2"/>
        <v>1.4610728722108808</v>
      </c>
      <c r="M28">
        <f t="shared" si="3"/>
        <v>1.005457966613464</v>
      </c>
      <c r="N28">
        <f t="shared" si="4"/>
        <v>-1.1300000000000061</v>
      </c>
      <c r="O28">
        <f t="shared" si="5"/>
        <v>-0.63999999999999346</v>
      </c>
    </row>
    <row r="29" spans="1:15" x14ac:dyDescent="0.35">
      <c r="A29" s="1">
        <v>44173</v>
      </c>
      <c r="B29">
        <v>33.07</v>
      </c>
      <c r="C29">
        <v>33.69</v>
      </c>
      <c r="D29">
        <v>31.61</v>
      </c>
      <c r="E29">
        <v>33.39</v>
      </c>
      <c r="F29">
        <v>21554335</v>
      </c>
      <c r="G29">
        <f t="shared" si="0"/>
        <v>31.976666666666663</v>
      </c>
      <c r="H29">
        <f t="shared" si="1"/>
        <v>2.8105218969674182</v>
      </c>
      <c r="L29">
        <f t="shared" si="2"/>
        <v>1.4112033893595426</v>
      </c>
      <c r="M29">
        <f t="shared" si="3"/>
        <v>3.2469730645039672</v>
      </c>
      <c r="N29">
        <f t="shared" si="4"/>
        <v>-1.7699999999999996</v>
      </c>
      <c r="O29">
        <f t="shared" si="5"/>
        <v>-0.32000000000000028</v>
      </c>
    </row>
    <row r="30" spans="1:15" x14ac:dyDescent="0.35">
      <c r="A30" s="1">
        <v>44172</v>
      </c>
      <c r="B30">
        <v>29.57</v>
      </c>
      <c r="C30">
        <v>33.869999999999997</v>
      </c>
      <c r="D30">
        <v>29.04</v>
      </c>
      <c r="E30">
        <v>33.799999999999997</v>
      </c>
      <c r="F30">
        <v>28137632</v>
      </c>
      <c r="G30">
        <f t="shared" si="0"/>
        <v>30.206666666666663</v>
      </c>
      <c r="H30">
        <f t="shared" si="1"/>
        <v>3.12936628302494</v>
      </c>
      <c r="L30">
        <f t="shared" si="2"/>
        <v>1.3330892436543496</v>
      </c>
      <c r="M30">
        <f t="shared" si="3"/>
        <v>3.6153313877086912</v>
      </c>
      <c r="N30">
        <f t="shared" si="4"/>
        <v>-2.09</v>
      </c>
      <c r="O30">
        <f t="shared" si="5"/>
        <v>1.9600000000000044</v>
      </c>
    </row>
    <row r="31" spans="1:15" x14ac:dyDescent="0.35">
      <c r="A31" s="1">
        <v>44169</v>
      </c>
      <c r="B31">
        <v>28.2</v>
      </c>
      <c r="C31">
        <v>29.2</v>
      </c>
      <c r="D31">
        <v>28.15</v>
      </c>
      <c r="E31">
        <v>28.74</v>
      </c>
      <c r="F31">
        <v>8686390</v>
      </c>
      <c r="G31">
        <f t="shared" si="0"/>
        <v>28.116666666666664</v>
      </c>
      <c r="H31">
        <f t="shared" si="1"/>
        <v>0.60583276020146992</v>
      </c>
      <c r="L31">
        <f t="shared" si="2"/>
        <v>1.2408527665222289</v>
      </c>
      <c r="M31">
        <f t="shared" si="3"/>
        <v>0.69991365521500093</v>
      </c>
      <c r="N31">
        <f t="shared" si="4"/>
        <v>-0.12999999999999545</v>
      </c>
      <c r="O31">
        <f t="shared" si="5"/>
        <v>-0.36000000000000298</v>
      </c>
    </row>
    <row r="32" spans="1:15" x14ac:dyDescent="0.35">
      <c r="A32" s="1">
        <v>44168</v>
      </c>
      <c r="B32">
        <v>27.79</v>
      </c>
      <c r="C32">
        <v>28.7773</v>
      </c>
      <c r="D32">
        <v>27.56</v>
      </c>
      <c r="E32">
        <v>28.08</v>
      </c>
      <c r="F32">
        <v>9189689</v>
      </c>
      <c r="G32">
        <f t="shared" si="0"/>
        <v>27.986666666666668</v>
      </c>
      <c r="H32">
        <f t="shared" si="1"/>
        <v>0.41789153297636122</v>
      </c>
      <c r="L32">
        <f t="shared" si="2"/>
        <v>1.2351155693800397</v>
      </c>
      <c r="M32">
        <f t="shared" si="3"/>
        <v>0.4827866856054765</v>
      </c>
      <c r="N32">
        <f t="shared" si="4"/>
        <v>-0.48999999999999844</v>
      </c>
      <c r="O32">
        <f t="shared" si="5"/>
        <v>0.36999999999999389</v>
      </c>
    </row>
    <row r="33" spans="1:15" x14ac:dyDescent="0.35">
      <c r="A33" s="1">
        <v>44167</v>
      </c>
      <c r="B33">
        <v>28</v>
      </c>
      <c r="C33">
        <v>28.02</v>
      </c>
      <c r="D33">
        <v>26.29</v>
      </c>
      <c r="E33">
        <v>27.53</v>
      </c>
      <c r="F33">
        <v>16387604</v>
      </c>
      <c r="G33">
        <f t="shared" si="0"/>
        <v>27.49666666666667</v>
      </c>
      <c r="H33">
        <f t="shared" si="1"/>
        <v>0.87047879545301687</v>
      </c>
      <c r="L33">
        <f t="shared" si="2"/>
        <v>1.2134907493825569</v>
      </c>
      <c r="M33">
        <f t="shared" si="3"/>
        <v>1.0056570650125665</v>
      </c>
      <c r="N33">
        <f t="shared" si="4"/>
        <v>-0.12000000000000455</v>
      </c>
      <c r="O33">
        <f t="shared" si="5"/>
        <v>-0.2966666666666633</v>
      </c>
    </row>
    <row r="34" spans="1:15" x14ac:dyDescent="0.35">
      <c r="A34" s="1">
        <v>44166</v>
      </c>
      <c r="B34">
        <v>28</v>
      </c>
      <c r="C34">
        <v>29.59</v>
      </c>
      <c r="D34">
        <v>27.12</v>
      </c>
      <c r="E34">
        <v>28.35</v>
      </c>
      <c r="F34">
        <v>18752570</v>
      </c>
      <c r="G34">
        <f t="shared" si="0"/>
        <v>27.376666666666665</v>
      </c>
      <c r="H34">
        <f t="shared" si="1"/>
        <v>0.88821919216673917</v>
      </c>
      <c r="L34">
        <f t="shared" si="2"/>
        <v>1.2081948750974589</v>
      </c>
      <c r="M34">
        <f t="shared" si="3"/>
        <v>1.026152400894925</v>
      </c>
      <c r="N34">
        <f t="shared" si="4"/>
        <v>-0.41666666666666785</v>
      </c>
      <c r="O34">
        <f t="shared" si="5"/>
        <v>-0.13333333333332931</v>
      </c>
    </row>
    <row r="35" spans="1:15" x14ac:dyDescent="0.35">
      <c r="A35" s="1">
        <v>44165</v>
      </c>
      <c r="B35">
        <v>27.58</v>
      </c>
      <c r="C35">
        <v>28.04</v>
      </c>
      <c r="D35">
        <v>25.32</v>
      </c>
      <c r="E35">
        <v>26.61</v>
      </c>
      <c r="F35">
        <v>12751129</v>
      </c>
      <c r="G35">
        <f t="shared" si="0"/>
        <v>26.959999999999997</v>
      </c>
      <c r="H35">
        <f t="shared" si="1"/>
        <v>0.30512292604784835</v>
      </c>
      <c r="L35">
        <f t="shared" si="2"/>
        <v>1.1898064227186469</v>
      </c>
      <c r="M35">
        <f t="shared" si="3"/>
        <v>0.35250603217466586</v>
      </c>
      <c r="N35">
        <f t="shared" si="4"/>
        <v>-0.54999999999999716</v>
      </c>
      <c r="O35">
        <f t="shared" si="5"/>
        <v>-0.2033333333333367</v>
      </c>
    </row>
    <row r="36" spans="1:15" x14ac:dyDescent="0.35">
      <c r="A36" s="1">
        <v>44162</v>
      </c>
      <c r="B36">
        <v>28.81</v>
      </c>
      <c r="C36">
        <v>28.882400000000001</v>
      </c>
      <c r="D36">
        <v>27.05</v>
      </c>
      <c r="E36">
        <v>27.17</v>
      </c>
      <c r="F36">
        <v>10939084</v>
      </c>
      <c r="G36">
        <f t="shared" si="0"/>
        <v>26.41</v>
      </c>
      <c r="H36">
        <f t="shared" si="1"/>
        <v>1.2562245022288019</v>
      </c>
      <c r="L36">
        <f t="shared" si="2"/>
        <v>1.1655336655786153</v>
      </c>
      <c r="M36">
        <f t="shared" si="3"/>
        <v>1.451305939337469</v>
      </c>
      <c r="N36">
        <f t="shared" si="4"/>
        <v>-0.75333333333333385</v>
      </c>
      <c r="O36">
        <f t="shared" si="5"/>
        <v>-0.50999999999999801</v>
      </c>
    </row>
    <row r="37" spans="1:15" x14ac:dyDescent="0.35">
      <c r="A37" s="1">
        <v>44160</v>
      </c>
      <c r="B37">
        <v>24.75</v>
      </c>
      <c r="C37">
        <v>27.8</v>
      </c>
      <c r="D37">
        <v>24.62</v>
      </c>
      <c r="E37">
        <v>27.1</v>
      </c>
      <c r="F37">
        <v>18083151</v>
      </c>
      <c r="G37">
        <f t="shared" si="0"/>
        <v>25.656666666666666</v>
      </c>
      <c r="H37">
        <f t="shared" si="1"/>
        <v>1.2502133151319956</v>
      </c>
      <c r="L37">
        <f t="shared" si="2"/>
        <v>1.1322873436777234</v>
      </c>
      <c r="M37">
        <f t="shared" si="3"/>
        <v>1.4443612638271717</v>
      </c>
      <c r="N37">
        <f t="shared" si="4"/>
        <v>-1.2633333333333319</v>
      </c>
      <c r="O37">
        <f t="shared" si="5"/>
        <v>0.9599999999999973</v>
      </c>
    </row>
    <row r="38" spans="1:15" x14ac:dyDescent="0.35">
      <c r="A38" s="1">
        <v>44159</v>
      </c>
      <c r="B38">
        <v>25.19</v>
      </c>
      <c r="C38">
        <v>25.38</v>
      </c>
      <c r="D38">
        <v>24.31</v>
      </c>
      <c r="E38">
        <v>24.96</v>
      </c>
      <c r="F38">
        <v>9053300</v>
      </c>
      <c r="G38">
        <f t="shared" si="0"/>
        <v>24.393333333333334</v>
      </c>
      <c r="H38">
        <f t="shared" si="1"/>
        <v>0.93852721502007352</v>
      </c>
      <c r="L38">
        <f t="shared" si="2"/>
        <v>1.0765335560651657</v>
      </c>
      <c r="M38">
        <f t="shared" si="3"/>
        <v>1.0842728500931618</v>
      </c>
      <c r="N38">
        <f t="shared" si="4"/>
        <v>-0.30333333333333456</v>
      </c>
      <c r="O38">
        <f t="shared" si="5"/>
        <v>-0.46999999999999886</v>
      </c>
    </row>
    <row r="39" spans="1:15" x14ac:dyDescent="0.35">
      <c r="A39" s="1">
        <v>44158</v>
      </c>
      <c r="B39">
        <v>23.61</v>
      </c>
      <c r="C39">
        <v>25.399000000000001</v>
      </c>
      <c r="D39">
        <v>23.5</v>
      </c>
      <c r="E39">
        <v>24.91</v>
      </c>
      <c r="F39">
        <v>13596619</v>
      </c>
      <c r="G39">
        <f t="shared" si="0"/>
        <v>24.09</v>
      </c>
      <c r="H39">
        <f t="shared" si="1"/>
        <v>0.80074964876670485</v>
      </c>
      <c r="L39">
        <f t="shared" si="2"/>
        <v>1.0631467627333906</v>
      </c>
      <c r="M39">
        <f t="shared" si="3"/>
        <v>0.92509954957545193</v>
      </c>
      <c r="N39">
        <f t="shared" si="4"/>
        <v>-0.77333333333333343</v>
      </c>
      <c r="O39">
        <f t="shared" si="5"/>
        <v>0.12000000000000455</v>
      </c>
    </row>
    <row r="40" spans="1:15" x14ac:dyDescent="0.35">
      <c r="A40" s="1">
        <v>44155</v>
      </c>
      <c r="B40">
        <v>24.53</v>
      </c>
      <c r="C40">
        <v>24.6</v>
      </c>
      <c r="D40">
        <v>23.05</v>
      </c>
      <c r="E40">
        <v>23.31</v>
      </c>
      <c r="F40">
        <v>11245012</v>
      </c>
      <c r="G40">
        <f t="shared" si="0"/>
        <v>23.316666666666666</v>
      </c>
      <c r="H40">
        <f t="shared" si="1"/>
        <v>0.73002283069321461</v>
      </c>
      <c r="L40">
        <f t="shared" si="2"/>
        <v>1.0290177951183155</v>
      </c>
      <c r="M40">
        <f t="shared" si="3"/>
        <v>0.84338943250769738</v>
      </c>
      <c r="N40">
        <f t="shared" si="4"/>
        <v>-0.65333333333332888</v>
      </c>
      <c r="O40">
        <f t="shared" si="5"/>
        <v>-0.40000000000000924</v>
      </c>
    </row>
    <row r="41" spans="1:15" x14ac:dyDescent="0.35">
      <c r="A41" s="1">
        <v>44154</v>
      </c>
      <c r="B41">
        <v>23.15</v>
      </c>
      <c r="C41">
        <v>24.34</v>
      </c>
      <c r="D41">
        <v>22.78</v>
      </c>
      <c r="E41">
        <v>24.05</v>
      </c>
      <c r="F41">
        <v>14278500</v>
      </c>
      <c r="G41">
        <f t="shared" si="0"/>
        <v>22.663333333333338</v>
      </c>
      <c r="H41">
        <f t="shared" si="1"/>
        <v>1.3514930015850368</v>
      </c>
      <c r="L41">
        <f t="shared" si="2"/>
        <v>1.0001847017883387</v>
      </c>
      <c r="M41">
        <f t="shared" si="3"/>
        <v>1.561368860974615</v>
      </c>
      <c r="N41">
        <f t="shared" si="4"/>
        <v>-1.0533333333333381</v>
      </c>
      <c r="O41">
        <f t="shared" si="5"/>
        <v>0.94666666666667254</v>
      </c>
    </row>
    <row r="42" spans="1:15" x14ac:dyDescent="0.35">
      <c r="A42" s="1">
        <v>44153</v>
      </c>
      <c r="B42">
        <v>21.44</v>
      </c>
      <c r="C42">
        <v>23.69</v>
      </c>
      <c r="D42">
        <v>21.25</v>
      </c>
      <c r="E42">
        <v>22.59</v>
      </c>
      <c r="F42">
        <v>18616351</v>
      </c>
      <c r="G42">
        <f t="shared" si="0"/>
        <v>21.61</v>
      </c>
      <c r="H42">
        <f t="shared" si="1"/>
        <v>0.87931791747922383</v>
      </c>
      <c r="L42">
        <f t="shared" si="2"/>
        <v>0.95369869417470188</v>
      </c>
      <c r="M42">
        <f t="shared" si="3"/>
        <v>1.0158688307219621</v>
      </c>
      <c r="N42">
        <f t="shared" si="4"/>
        <v>-0.10666666666666558</v>
      </c>
      <c r="O42">
        <f t="shared" si="5"/>
        <v>0.19666666666666544</v>
      </c>
    </row>
    <row r="43" spans="1:15" x14ac:dyDescent="0.35">
      <c r="A43" s="1">
        <v>44152</v>
      </c>
      <c r="B43">
        <v>20.82</v>
      </c>
      <c r="C43">
        <v>21.6</v>
      </c>
      <c r="D43">
        <v>20.37</v>
      </c>
      <c r="E43">
        <v>21.35</v>
      </c>
      <c r="F43">
        <v>9125159</v>
      </c>
      <c r="G43">
        <f t="shared" si="0"/>
        <v>21.503333333333334</v>
      </c>
      <c r="H43">
        <f t="shared" si="1"/>
        <v>0.70266160655989485</v>
      </c>
      <c r="L43">
        <f t="shared" si="2"/>
        <v>0.94899125036572607</v>
      </c>
      <c r="M43">
        <f t="shared" si="3"/>
        <v>0.8117792330395468</v>
      </c>
      <c r="N43">
        <f t="shared" si="4"/>
        <v>8.9999999999999858E-2</v>
      </c>
      <c r="O43">
        <f t="shared" si="5"/>
        <v>0.25999999999999801</v>
      </c>
    </row>
    <row r="44" spans="1:15" x14ac:dyDescent="0.35">
      <c r="A44" s="1">
        <v>44151</v>
      </c>
      <c r="B44">
        <v>20.63</v>
      </c>
      <c r="C44">
        <v>21.22</v>
      </c>
      <c r="D44">
        <v>19.84</v>
      </c>
      <c r="E44">
        <v>20.89</v>
      </c>
      <c r="F44">
        <v>22589647</v>
      </c>
      <c r="G44">
        <f t="shared" si="0"/>
        <v>21.593333333333334</v>
      </c>
      <c r="H44">
        <f t="shared" si="1"/>
        <v>0.69038636525740615</v>
      </c>
      <c r="L44">
        <f t="shared" si="2"/>
        <v>0.9529631560795494</v>
      </c>
      <c r="M44">
        <f t="shared" si="3"/>
        <v>0.7975977467068931</v>
      </c>
      <c r="N44">
        <f t="shared" si="4"/>
        <v>0.34999999999999787</v>
      </c>
      <c r="O44">
        <f t="shared" si="5"/>
        <v>-0.94999999999999574</v>
      </c>
    </row>
    <row r="45" spans="1:15" x14ac:dyDescent="0.35">
      <c r="A45" s="1">
        <v>44148</v>
      </c>
      <c r="B45">
        <v>22.02</v>
      </c>
      <c r="C45">
        <v>22.35</v>
      </c>
      <c r="D45">
        <v>21.13</v>
      </c>
      <c r="E45">
        <v>22.27</v>
      </c>
      <c r="F45">
        <v>7348725</v>
      </c>
      <c r="G45">
        <f t="shared" si="0"/>
        <v>21.943333333333332</v>
      </c>
      <c r="H45">
        <f t="shared" si="1"/>
        <v>0.3250128202599597</v>
      </c>
      <c r="L45">
        <f t="shared" si="2"/>
        <v>0.96840945607775131</v>
      </c>
      <c r="M45">
        <f t="shared" si="3"/>
        <v>0.37548466501586286</v>
      </c>
      <c r="N45">
        <f t="shared" si="4"/>
        <v>-0.59999999999999787</v>
      </c>
      <c r="O45">
        <f t="shared" si="5"/>
        <v>0.2099999999999973</v>
      </c>
    </row>
    <row r="46" spans="1:15" x14ac:dyDescent="0.35">
      <c r="A46" s="1">
        <v>44147</v>
      </c>
      <c r="B46">
        <v>21.45</v>
      </c>
      <c r="C46">
        <v>22.25</v>
      </c>
      <c r="D46">
        <v>20.89</v>
      </c>
      <c r="E46">
        <v>21.62</v>
      </c>
      <c r="F46">
        <v>9631960</v>
      </c>
      <c r="G46">
        <f t="shared" si="0"/>
        <v>21.343333333333334</v>
      </c>
      <c r="H46">
        <f t="shared" si="1"/>
        <v>0.77306748303969908</v>
      </c>
      <c r="L46">
        <f t="shared" si="2"/>
        <v>0.94193008465226225</v>
      </c>
      <c r="M46">
        <f t="shared" si="3"/>
        <v>0.89311856889719865</v>
      </c>
      <c r="N46">
        <f t="shared" si="4"/>
        <v>-0.39000000000000057</v>
      </c>
      <c r="O46">
        <f t="shared" si="5"/>
        <v>-0.57999999999999829</v>
      </c>
    </row>
    <row r="47" spans="1:15" x14ac:dyDescent="0.35">
      <c r="A47" s="1">
        <v>44146</v>
      </c>
      <c r="B47">
        <v>20.89</v>
      </c>
      <c r="C47">
        <v>22.38</v>
      </c>
      <c r="D47">
        <v>20.6</v>
      </c>
      <c r="E47">
        <v>21.94</v>
      </c>
      <c r="F47">
        <v>12873976</v>
      </c>
      <c r="G47">
        <f t="shared" si="0"/>
        <v>20.953333333333333</v>
      </c>
      <c r="H47">
        <f t="shared" si="1"/>
        <v>0.8545369116271897</v>
      </c>
      <c r="L47">
        <f t="shared" si="2"/>
        <v>0.92471849322569433</v>
      </c>
      <c r="M47">
        <f t="shared" si="3"/>
        <v>0.98723953642623341</v>
      </c>
      <c r="N47">
        <f t="shared" si="4"/>
        <v>-0.96999999999999886</v>
      </c>
      <c r="O47">
        <f t="shared" si="5"/>
        <v>0.53666666666666529</v>
      </c>
    </row>
    <row r="48" spans="1:15" x14ac:dyDescent="0.35">
      <c r="A48" s="1">
        <v>44145</v>
      </c>
      <c r="B48">
        <v>20.77</v>
      </c>
      <c r="C48">
        <v>20.93</v>
      </c>
      <c r="D48">
        <v>19.11</v>
      </c>
      <c r="E48">
        <v>20.47</v>
      </c>
      <c r="F48">
        <v>9887212</v>
      </c>
      <c r="G48">
        <f t="shared" si="0"/>
        <v>19.983333333333334</v>
      </c>
      <c r="H48">
        <f t="shared" si="1"/>
        <v>0.82567144393719427</v>
      </c>
      <c r="L48">
        <f t="shared" si="2"/>
        <v>0.88191017608782019</v>
      </c>
      <c r="M48">
        <f t="shared" si="3"/>
        <v>0.95389149662449579</v>
      </c>
      <c r="N48">
        <f t="shared" si="4"/>
        <v>-0.43333333333333357</v>
      </c>
      <c r="O48">
        <f t="shared" si="5"/>
        <v>-0.3733333333333313</v>
      </c>
    </row>
    <row r="49" spans="1:15" x14ac:dyDescent="0.35">
      <c r="A49" s="1">
        <v>44144</v>
      </c>
      <c r="B49">
        <v>20</v>
      </c>
      <c r="C49">
        <v>21.38</v>
      </c>
      <c r="D49">
        <v>19.34</v>
      </c>
      <c r="E49">
        <v>20.45</v>
      </c>
      <c r="F49">
        <v>14544938</v>
      </c>
      <c r="G49">
        <f t="shared" si="0"/>
        <v>19.55</v>
      </c>
      <c r="H49">
        <f t="shared" si="1"/>
        <v>0.7825599018605528</v>
      </c>
      <c r="L49">
        <f t="shared" si="2"/>
        <v>0.86278618561385578</v>
      </c>
      <c r="M49">
        <f t="shared" si="3"/>
        <v>0.90408508307435531</v>
      </c>
      <c r="N49">
        <f t="shared" si="4"/>
        <v>-0.80666666666666487</v>
      </c>
      <c r="O49">
        <f t="shared" si="5"/>
        <v>0.61333333333332973</v>
      </c>
    </row>
    <row r="50" spans="1:15" x14ac:dyDescent="0.35">
      <c r="A50" s="1">
        <v>44141</v>
      </c>
      <c r="B50">
        <v>20</v>
      </c>
      <c r="C50">
        <v>20.2</v>
      </c>
      <c r="D50">
        <v>18.37</v>
      </c>
      <c r="E50">
        <v>19.03</v>
      </c>
      <c r="F50">
        <v>13387805</v>
      </c>
      <c r="G50">
        <f t="shared" si="0"/>
        <v>18.743333333333336</v>
      </c>
      <c r="H50">
        <f t="shared" si="1"/>
        <v>0.6217180497084942</v>
      </c>
      <c r="L50">
        <f t="shared" si="2"/>
        <v>0.82718614180847594</v>
      </c>
      <c r="M50">
        <f t="shared" si="3"/>
        <v>0.71826580084560776</v>
      </c>
      <c r="N50">
        <f t="shared" si="4"/>
        <v>-0.19333333333333513</v>
      </c>
      <c r="O50">
        <f t="shared" si="5"/>
        <v>-0.30999999999999872</v>
      </c>
    </row>
    <row r="51" spans="1:15" x14ac:dyDescent="0.35">
      <c r="A51" s="1">
        <v>44140</v>
      </c>
      <c r="B51">
        <v>18.25</v>
      </c>
      <c r="C51">
        <v>19.170000000000002</v>
      </c>
      <c r="D51">
        <v>18.03</v>
      </c>
      <c r="E51">
        <v>19.170000000000002</v>
      </c>
      <c r="F51">
        <v>11863498</v>
      </c>
      <c r="G51">
        <f t="shared" si="0"/>
        <v>18.55</v>
      </c>
      <c r="H51">
        <f t="shared" si="1"/>
        <v>0.57654141221598343</v>
      </c>
      <c r="L51">
        <f t="shared" si="2"/>
        <v>0.81865389990470716</v>
      </c>
      <c r="M51">
        <f t="shared" si="3"/>
        <v>0.66607359937536847</v>
      </c>
      <c r="N51">
        <f t="shared" si="4"/>
        <v>-0.50333333333333385</v>
      </c>
      <c r="O51">
        <f t="shared" si="5"/>
        <v>0.30000000000000071</v>
      </c>
    </row>
    <row r="52" spans="1:15" x14ac:dyDescent="0.35">
      <c r="A52" s="1">
        <v>44139</v>
      </c>
      <c r="B52">
        <v>18.489999999999998</v>
      </c>
      <c r="C52">
        <v>18.809999999999999</v>
      </c>
      <c r="D52">
        <v>17.850000000000001</v>
      </c>
      <c r="E52">
        <v>18.03</v>
      </c>
      <c r="F52">
        <v>7847311</v>
      </c>
      <c r="G52">
        <f t="shared" si="0"/>
        <v>18.046666666666667</v>
      </c>
      <c r="H52">
        <f t="shared" si="1"/>
        <v>0.39526362510776647</v>
      </c>
      <c r="L52">
        <f t="shared" si="2"/>
        <v>0.79644064943110227</v>
      </c>
      <c r="M52">
        <f t="shared" si="3"/>
        <v>0.45664484787964993</v>
      </c>
      <c r="N52">
        <f t="shared" si="4"/>
        <v>-0.20333333333333314</v>
      </c>
      <c r="O52">
        <f t="shared" si="5"/>
        <v>0.11333333333333329</v>
      </c>
    </row>
    <row r="53" spans="1:15" x14ac:dyDescent="0.35">
      <c r="A53" s="1">
        <v>44138</v>
      </c>
      <c r="B53">
        <v>17.89</v>
      </c>
      <c r="C53">
        <v>18.670000000000002</v>
      </c>
      <c r="D53">
        <v>17.679099999999998</v>
      </c>
      <c r="E53">
        <v>18.45</v>
      </c>
      <c r="F53">
        <v>8482307</v>
      </c>
      <c r="G53">
        <f t="shared" si="0"/>
        <v>17.843333333333334</v>
      </c>
      <c r="H53">
        <f t="shared" si="1"/>
        <v>0.53891867042563313</v>
      </c>
      <c r="L53">
        <f t="shared" si="2"/>
        <v>0.78746708467024207</v>
      </c>
      <c r="M53">
        <f t="shared" si="3"/>
        <v>0.62260835210657228</v>
      </c>
      <c r="N53">
        <f t="shared" si="4"/>
        <v>-8.9999999999999858E-2</v>
      </c>
      <c r="O53">
        <f t="shared" si="5"/>
        <v>2.9999999999997584E-2</v>
      </c>
    </row>
    <row r="54" spans="1:15" x14ac:dyDescent="0.35">
      <c r="A54" s="1">
        <v>44137</v>
      </c>
      <c r="B54">
        <v>17.43</v>
      </c>
      <c r="C54">
        <v>18.190000000000001</v>
      </c>
      <c r="D54">
        <v>17.14</v>
      </c>
      <c r="E54">
        <v>17.66</v>
      </c>
      <c r="F54">
        <v>9873297</v>
      </c>
      <c r="G54">
        <f t="shared" si="0"/>
        <v>17.753333333333334</v>
      </c>
      <c r="H54">
        <f t="shared" si="1"/>
        <v>0.38850139424889152</v>
      </c>
      <c r="L54">
        <f t="shared" si="2"/>
        <v>0.78349517895641874</v>
      </c>
      <c r="M54">
        <f t="shared" si="3"/>
        <v>0.44883249762597777</v>
      </c>
      <c r="N54">
        <f t="shared" si="4"/>
        <v>-6.0000000000002274E-2</v>
      </c>
      <c r="O54">
        <f t="shared" si="5"/>
        <v>0.35000000000000142</v>
      </c>
    </row>
    <row r="55" spans="1:15" x14ac:dyDescent="0.35">
      <c r="A55" s="1">
        <v>44134</v>
      </c>
      <c r="B55">
        <v>18.13</v>
      </c>
      <c r="C55">
        <v>18.13</v>
      </c>
      <c r="D55">
        <v>17.02</v>
      </c>
      <c r="E55">
        <v>17.420000000000002</v>
      </c>
      <c r="F55">
        <v>8021613</v>
      </c>
      <c r="G55">
        <f t="shared" si="0"/>
        <v>17.693333333333332</v>
      </c>
      <c r="H55">
        <f t="shared" si="1"/>
        <v>0.42253205006642114</v>
      </c>
      <c r="L55">
        <f t="shared" si="2"/>
        <v>0.78084724181386966</v>
      </c>
      <c r="M55">
        <f t="shared" si="3"/>
        <v>0.48814783721687405</v>
      </c>
      <c r="N55">
        <f t="shared" si="4"/>
        <v>0.28999999999999915</v>
      </c>
      <c r="O55">
        <f t="shared" si="5"/>
        <v>-0.24333333333333229</v>
      </c>
    </row>
    <row r="56" spans="1:15" x14ac:dyDescent="0.35">
      <c r="A56" s="1">
        <v>44133</v>
      </c>
      <c r="B56">
        <v>17.68</v>
      </c>
      <c r="C56">
        <v>18.315000000000001</v>
      </c>
      <c r="D56">
        <v>17.47</v>
      </c>
      <c r="E56">
        <v>18.18</v>
      </c>
      <c r="F56">
        <v>8614290</v>
      </c>
      <c r="G56">
        <f t="shared" si="0"/>
        <v>17.983333333333331</v>
      </c>
      <c r="H56">
        <f t="shared" si="1"/>
        <v>0.43935558871298402</v>
      </c>
      <c r="L56">
        <f t="shared" si="2"/>
        <v>0.79364560466952272</v>
      </c>
      <c r="M56">
        <f t="shared" si="3"/>
        <v>0.50758393443923433</v>
      </c>
      <c r="N56">
        <f t="shared" si="4"/>
        <v>4.6666666666666856E-2</v>
      </c>
      <c r="O56">
        <f t="shared" si="5"/>
        <v>0.50666666666666771</v>
      </c>
    </row>
    <row r="57" spans="1:15" x14ac:dyDescent="0.35">
      <c r="A57" s="1">
        <v>44132</v>
      </c>
      <c r="B57">
        <v>17.98</v>
      </c>
      <c r="C57">
        <v>18.149999999999999</v>
      </c>
      <c r="D57">
        <v>17.329999999999998</v>
      </c>
      <c r="E57">
        <v>17.48</v>
      </c>
      <c r="F57">
        <v>8879172</v>
      </c>
      <c r="G57">
        <f t="shared" si="0"/>
        <v>18.029999999999998</v>
      </c>
      <c r="H57">
        <f t="shared" si="1"/>
        <v>0.47655010229775385</v>
      </c>
      <c r="L57">
        <f t="shared" si="2"/>
        <v>0.79570511133594968</v>
      </c>
      <c r="M57">
        <f t="shared" si="3"/>
        <v>0.55055445314872598</v>
      </c>
      <c r="N57">
        <f t="shared" si="4"/>
        <v>0.55333333333333456</v>
      </c>
      <c r="O57">
        <f t="shared" si="5"/>
        <v>0.25999999999999801</v>
      </c>
    </row>
    <row r="58" spans="1:15" x14ac:dyDescent="0.35">
      <c r="A58" s="1">
        <v>44131</v>
      </c>
      <c r="B58">
        <v>18.43</v>
      </c>
      <c r="C58">
        <v>18.98</v>
      </c>
      <c r="D58">
        <v>18.2</v>
      </c>
      <c r="E58">
        <v>18.29</v>
      </c>
      <c r="F58">
        <v>6046074</v>
      </c>
      <c r="G58">
        <f t="shared" si="0"/>
        <v>18.583333333333332</v>
      </c>
      <c r="H58">
        <f t="shared" si="1"/>
        <v>0.48232077845903948</v>
      </c>
      <c r="L58">
        <f t="shared" si="2"/>
        <v>0.820124976095012</v>
      </c>
      <c r="M58">
        <f t="shared" si="3"/>
        <v>0.55722126833343855</v>
      </c>
      <c r="N58">
        <f t="shared" si="4"/>
        <v>0.81333333333333258</v>
      </c>
      <c r="O58">
        <f t="shared" si="5"/>
        <v>-0.10666666666666202</v>
      </c>
    </row>
    <row r="59" spans="1:15" x14ac:dyDescent="0.35">
      <c r="A59" s="1">
        <v>44130</v>
      </c>
      <c r="B59">
        <v>19</v>
      </c>
      <c r="C59">
        <v>19.239999999999998</v>
      </c>
      <c r="D59">
        <v>17.91</v>
      </c>
      <c r="E59">
        <v>18.32</v>
      </c>
      <c r="F59">
        <v>12612027</v>
      </c>
      <c r="G59">
        <f t="shared" si="0"/>
        <v>19.396666666666665</v>
      </c>
      <c r="H59">
        <f t="shared" si="1"/>
        <v>1.2253298875540959</v>
      </c>
      <c r="L59">
        <f t="shared" si="2"/>
        <v>0.85601923513845279</v>
      </c>
      <c r="M59">
        <f t="shared" si="3"/>
        <v>1.4156136425454606</v>
      </c>
      <c r="N59">
        <f t="shared" si="4"/>
        <v>0.70666666666667055</v>
      </c>
      <c r="O59">
        <f t="shared" si="5"/>
        <v>0.58999999999999631</v>
      </c>
    </row>
    <row r="60" spans="1:15" x14ac:dyDescent="0.35">
      <c r="A60" s="1">
        <v>44127</v>
      </c>
      <c r="B60">
        <v>20.8</v>
      </c>
      <c r="C60">
        <v>20.82</v>
      </c>
      <c r="D60">
        <v>19.05</v>
      </c>
      <c r="E60">
        <v>19.14</v>
      </c>
      <c r="F60">
        <v>16148382</v>
      </c>
      <c r="G60">
        <f t="shared" si="0"/>
        <v>20.103333333333335</v>
      </c>
      <c r="H60">
        <f t="shared" si="1"/>
        <v>0.84677820787578939</v>
      </c>
      <c r="L60">
        <f t="shared" si="2"/>
        <v>0.887206050372918</v>
      </c>
      <c r="M60">
        <f t="shared" si="3"/>
        <v>0.97827596915303572</v>
      </c>
      <c r="N60">
        <f t="shared" si="4"/>
        <v>1.2966666666666669</v>
      </c>
      <c r="O60">
        <f t="shared" si="5"/>
        <v>-0.60000000000000497</v>
      </c>
    </row>
    <row r="61" spans="1:15" x14ac:dyDescent="0.35">
      <c r="A61" s="1">
        <v>44126</v>
      </c>
      <c r="B61">
        <v>20.64</v>
      </c>
      <c r="C61">
        <v>21.3</v>
      </c>
      <c r="D61">
        <v>20.5</v>
      </c>
      <c r="E61">
        <v>20.73</v>
      </c>
      <c r="F61">
        <v>8662271</v>
      </c>
      <c r="G61">
        <f t="shared" si="0"/>
        <v>21.400000000000002</v>
      </c>
      <c r="H61">
        <f t="shared" si="1"/>
        <v>1.4190489773083943</v>
      </c>
      <c r="L61">
        <f t="shared" si="2"/>
        <v>0.94443091417578073</v>
      </c>
      <c r="M61">
        <f t="shared" si="3"/>
        <v>1.6394157296920264</v>
      </c>
      <c r="N61">
        <f t="shared" si="4"/>
        <v>0.69666666666666188</v>
      </c>
      <c r="O61">
        <f t="shared" si="5"/>
        <v>-2.9999999999990479E-2</v>
      </c>
    </row>
    <row r="62" spans="1:15" x14ac:dyDescent="0.35">
      <c r="A62" s="1">
        <v>44125</v>
      </c>
      <c r="B62">
        <v>23.24</v>
      </c>
      <c r="C62">
        <v>23.35</v>
      </c>
      <c r="D62">
        <v>20.25</v>
      </c>
      <c r="E62">
        <v>20.440000000000001</v>
      </c>
      <c r="F62">
        <v>21009910</v>
      </c>
      <c r="G62">
        <f t="shared" si="0"/>
        <v>22.096666666666664</v>
      </c>
      <c r="H62">
        <f t="shared" si="1"/>
        <v>1.4385525132345125</v>
      </c>
      <c r="L62">
        <f t="shared" si="2"/>
        <v>0.97517640655315407</v>
      </c>
      <c r="M62">
        <f t="shared" si="3"/>
        <v>1.6619480059511162</v>
      </c>
      <c r="N62">
        <f t="shared" si="4"/>
        <v>0.6666666666666714</v>
      </c>
      <c r="O62">
        <f t="shared" si="5"/>
        <v>-1.1300000000000061</v>
      </c>
    </row>
    <row r="63" spans="1:15" x14ac:dyDescent="0.35">
      <c r="A63" s="1">
        <v>44124</v>
      </c>
      <c r="B63">
        <v>22.91</v>
      </c>
      <c r="C63">
        <v>24.37</v>
      </c>
      <c r="D63">
        <v>22.652000000000001</v>
      </c>
      <c r="E63">
        <v>23.03</v>
      </c>
      <c r="F63">
        <v>25863778</v>
      </c>
      <c r="G63">
        <f t="shared" si="0"/>
        <v>22.763333333333335</v>
      </c>
      <c r="H63">
        <f t="shared" si="1"/>
        <v>0.29905406423142494</v>
      </c>
      <c r="L63">
        <f t="shared" si="2"/>
        <v>1.0045979303592534</v>
      </c>
      <c r="M63">
        <f t="shared" si="3"/>
        <v>0.34549472553037824</v>
      </c>
      <c r="N63">
        <f t="shared" si="4"/>
        <v>-0.46333333333333471</v>
      </c>
      <c r="O63">
        <f t="shared" si="5"/>
        <v>-3.3333333333334991E-2</v>
      </c>
    </row>
    <row r="64" spans="1:15" x14ac:dyDescent="0.35">
      <c r="A64" s="1">
        <v>44123</v>
      </c>
      <c r="B64">
        <v>23</v>
      </c>
      <c r="C64">
        <v>23.62</v>
      </c>
      <c r="D64">
        <v>22.23</v>
      </c>
      <c r="E64">
        <v>22.82</v>
      </c>
      <c r="F64">
        <v>17276071</v>
      </c>
      <c r="G64">
        <f t="shared" si="0"/>
        <v>22.3</v>
      </c>
      <c r="H64">
        <f t="shared" si="1"/>
        <v>0.60232881385502379</v>
      </c>
      <c r="L64">
        <f t="shared" si="2"/>
        <v>0.98414997131401449</v>
      </c>
      <c r="M64">
        <f t="shared" si="3"/>
        <v>0.69586557452982511</v>
      </c>
      <c r="N64">
        <f t="shared" si="4"/>
        <v>-0.4966666666666697</v>
      </c>
      <c r="O64">
        <f t="shared" si="5"/>
        <v>0.2866666666666724</v>
      </c>
    </row>
    <row r="65" spans="1:15" x14ac:dyDescent="0.35">
      <c r="A65" s="1">
        <v>44120</v>
      </c>
      <c r="B65">
        <v>22</v>
      </c>
      <c r="C65">
        <v>23.4</v>
      </c>
      <c r="D65">
        <v>21.87</v>
      </c>
      <c r="E65">
        <v>22.44</v>
      </c>
      <c r="F65">
        <v>23733442</v>
      </c>
      <c r="G65">
        <f t="shared" si="0"/>
        <v>21.803333333333331</v>
      </c>
      <c r="H65">
        <f t="shared" si="1"/>
        <v>0.57274194305405546</v>
      </c>
      <c r="L65">
        <f t="shared" si="2"/>
        <v>0.96223093607847054</v>
      </c>
      <c r="M65">
        <f t="shared" si="3"/>
        <v>0.66168410358759144</v>
      </c>
      <c r="N65">
        <f t="shared" si="4"/>
        <v>-0.2099999999999973</v>
      </c>
      <c r="O65">
        <f t="shared" si="5"/>
        <v>-0.14666666666666828</v>
      </c>
    </row>
    <row r="66" spans="1:15" x14ac:dyDescent="0.35">
      <c r="A66" s="1">
        <v>44119</v>
      </c>
      <c r="B66">
        <v>20.9</v>
      </c>
      <c r="C66">
        <v>21.86</v>
      </c>
      <c r="D66">
        <v>20.66</v>
      </c>
      <c r="E66">
        <v>21.64</v>
      </c>
      <c r="F66">
        <v>7764694</v>
      </c>
      <c r="G66">
        <f t="shared" si="0"/>
        <v>21.593333333333334</v>
      </c>
      <c r="H66">
        <f t="shared" si="1"/>
        <v>0.24337899115029121</v>
      </c>
      <c r="L66">
        <f t="shared" si="2"/>
        <v>0.9529631560795494</v>
      </c>
      <c r="M66">
        <f t="shared" si="3"/>
        <v>0.281173766902093</v>
      </c>
      <c r="N66">
        <f t="shared" si="4"/>
        <v>-0.35666666666666558</v>
      </c>
      <c r="O66">
        <f t="shared" si="5"/>
        <v>0.37999999999999545</v>
      </c>
    </row>
    <row r="67" spans="1:15" x14ac:dyDescent="0.35">
      <c r="A67" s="1">
        <v>44118</v>
      </c>
      <c r="B67">
        <v>21.88</v>
      </c>
      <c r="C67">
        <v>21.95</v>
      </c>
      <c r="D67">
        <v>20.98</v>
      </c>
      <c r="E67">
        <v>21.33</v>
      </c>
      <c r="F67">
        <v>8391716</v>
      </c>
      <c r="G67">
        <f t="shared" ref="G67:G91" si="6">AVERAGE(E67:E69)</f>
        <v>21.236666666666668</v>
      </c>
      <c r="H67">
        <f t="shared" ref="H67:H91" si="7">STDEVA(E67:E69)</f>
        <v>0.62524661801031134</v>
      </c>
      <c r="L67">
        <f t="shared" ref="L67:L91" si="8">G67/$J$2</f>
        <v>0.93722264084328644</v>
      </c>
      <c r="M67">
        <f t="shared" ref="M67:M91" si="9">H67/$K$2</f>
        <v>0.72234232707535362</v>
      </c>
      <c r="N67">
        <f t="shared" ref="N67:N90" si="10">G68-G67</f>
        <v>2.3333333333329875E-2</v>
      </c>
      <c r="O67">
        <f t="shared" ref="O67:O89" si="11">N68-N67</f>
        <v>7.000000000000739E-2</v>
      </c>
    </row>
    <row r="68" spans="1:15" x14ac:dyDescent="0.35">
      <c r="A68" s="1">
        <v>44117</v>
      </c>
      <c r="B68">
        <v>20.5</v>
      </c>
      <c r="C68">
        <v>21.98</v>
      </c>
      <c r="D68">
        <v>19.920000000000002</v>
      </c>
      <c r="E68">
        <v>21.81</v>
      </c>
      <c r="F68">
        <v>13081197</v>
      </c>
      <c r="G68">
        <f t="shared" si="6"/>
        <v>21.259999999999998</v>
      </c>
      <c r="H68">
        <f t="shared" si="7"/>
        <v>0.63174361888348263</v>
      </c>
      <c r="L68">
        <f t="shared" si="8"/>
        <v>0.93825239417649975</v>
      </c>
      <c r="M68">
        <f t="shared" si="9"/>
        <v>0.72984825928602537</v>
      </c>
      <c r="N68">
        <f t="shared" si="10"/>
        <v>9.3333333333337265E-2</v>
      </c>
      <c r="O68">
        <f t="shared" si="11"/>
        <v>0.32333333333332703</v>
      </c>
    </row>
    <row r="69" spans="1:15" x14ac:dyDescent="0.35">
      <c r="A69" s="1">
        <v>44116</v>
      </c>
      <c r="B69">
        <v>21.5</v>
      </c>
      <c r="C69">
        <v>21.5</v>
      </c>
      <c r="D69">
        <v>20.55</v>
      </c>
      <c r="E69">
        <v>20.57</v>
      </c>
      <c r="F69">
        <v>8702401</v>
      </c>
      <c r="G69">
        <f t="shared" si="6"/>
        <v>21.353333333333335</v>
      </c>
      <c r="H69">
        <f t="shared" si="7"/>
        <v>0.76107380281634507</v>
      </c>
      <c r="L69">
        <f t="shared" si="8"/>
        <v>0.94237140750935378</v>
      </c>
      <c r="M69">
        <f t="shared" si="9"/>
        <v>0.87926236778681965</v>
      </c>
      <c r="N69">
        <f t="shared" si="10"/>
        <v>0.4166666666666643</v>
      </c>
      <c r="O69">
        <f t="shared" si="11"/>
        <v>-0.53999999999999915</v>
      </c>
    </row>
    <row r="70" spans="1:15" x14ac:dyDescent="0.35">
      <c r="A70" s="1">
        <v>44113</v>
      </c>
      <c r="B70">
        <v>22.16</v>
      </c>
      <c r="C70">
        <v>22.202999999999999</v>
      </c>
      <c r="D70">
        <v>21.31</v>
      </c>
      <c r="E70">
        <v>21.4</v>
      </c>
      <c r="F70">
        <v>10078183</v>
      </c>
      <c r="G70">
        <f t="shared" si="6"/>
        <v>21.77</v>
      </c>
      <c r="H70">
        <f t="shared" si="7"/>
        <v>0.34770677301427488</v>
      </c>
      <c r="L70">
        <f t="shared" si="8"/>
        <v>0.9607598598881657</v>
      </c>
      <c r="M70">
        <f t="shared" si="9"/>
        <v>0.40170280386042967</v>
      </c>
      <c r="N70">
        <f t="shared" si="10"/>
        <v>-0.12333333333333485</v>
      </c>
      <c r="O70">
        <f t="shared" si="11"/>
        <v>-0.23666666666666458</v>
      </c>
    </row>
    <row r="71" spans="1:15" x14ac:dyDescent="0.35">
      <c r="A71" s="1">
        <v>44112</v>
      </c>
      <c r="B71">
        <v>22.45</v>
      </c>
      <c r="C71">
        <v>22.54</v>
      </c>
      <c r="D71">
        <v>21.55</v>
      </c>
      <c r="E71">
        <v>22.09</v>
      </c>
      <c r="F71">
        <v>10147657</v>
      </c>
      <c r="G71">
        <f t="shared" si="6"/>
        <v>21.646666666666665</v>
      </c>
      <c r="H71">
        <f t="shared" si="7"/>
        <v>0.55084783137753446</v>
      </c>
      <c r="L71">
        <f t="shared" si="8"/>
        <v>0.9553168779840373</v>
      </c>
      <c r="M71">
        <f t="shared" si="9"/>
        <v>0.63639001462795308</v>
      </c>
      <c r="N71">
        <f t="shared" si="10"/>
        <v>-0.35999999999999943</v>
      </c>
      <c r="O71">
        <f t="shared" si="11"/>
        <v>1.0000000000001563E-2</v>
      </c>
    </row>
    <row r="72" spans="1:15" x14ac:dyDescent="0.35">
      <c r="A72" s="1">
        <v>44111</v>
      </c>
      <c r="B72">
        <v>21.61</v>
      </c>
      <c r="C72">
        <v>22.259699999999999</v>
      </c>
      <c r="D72">
        <v>21.5215</v>
      </c>
      <c r="E72">
        <v>21.82</v>
      </c>
      <c r="F72">
        <v>13066119</v>
      </c>
      <c r="G72">
        <f t="shared" si="6"/>
        <v>21.286666666666665</v>
      </c>
      <c r="H72">
        <f t="shared" si="7"/>
        <v>0.46198845584422643</v>
      </c>
      <c r="L72">
        <f t="shared" si="8"/>
        <v>0.93942925512874376</v>
      </c>
      <c r="M72">
        <f t="shared" si="9"/>
        <v>0.53373150156081983</v>
      </c>
      <c r="N72">
        <f t="shared" si="10"/>
        <v>-0.34999999999999787</v>
      </c>
      <c r="O72">
        <f t="shared" si="11"/>
        <v>6.3333333333332575E-2</v>
      </c>
    </row>
    <row r="73" spans="1:15" x14ac:dyDescent="0.35">
      <c r="A73" s="1">
        <v>44110</v>
      </c>
      <c r="B73">
        <v>21.27</v>
      </c>
      <c r="C73">
        <v>22.53</v>
      </c>
      <c r="D73">
        <v>20.8</v>
      </c>
      <c r="E73">
        <v>21.03</v>
      </c>
      <c r="F73">
        <v>23874519</v>
      </c>
      <c r="G73">
        <f t="shared" si="6"/>
        <v>20.936666666666667</v>
      </c>
      <c r="H73">
        <f t="shared" si="7"/>
        <v>0.1446835627614057</v>
      </c>
      <c r="L73">
        <f t="shared" si="8"/>
        <v>0.92398295513054185</v>
      </c>
      <c r="M73">
        <f t="shared" si="9"/>
        <v>0.16715174205532962</v>
      </c>
      <c r="N73">
        <f t="shared" si="10"/>
        <v>-0.28666666666666529</v>
      </c>
      <c r="O73">
        <f t="shared" si="11"/>
        <v>-0.30666666666666842</v>
      </c>
    </row>
    <row r="74" spans="1:15" x14ac:dyDescent="0.35">
      <c r="A74" s="1">
        <v>44109</v>
      </c>
      <c r="B74">
        <v>21.22</v>
      </c>
      <c r="C74">
        <v>21.64</v>
      </c>
      <c r="D74">
        <v>20.56</v>
      </c>
      <c r="E74">
        <v>21.01</v>
      </c>
      <c r="F74">
        <v>13252880</v>
      </c>
      <c r="G74">
        <f t="shared" si="6"/>
        <v>20.650000000000002</v>
      </c>
      <c r="H74">
        <f t="shared" si="7"/>
        <v>0.43266615305567835</v>
      </c>
      <c r="L74">
        <f t="shared" si="8"/>
        <v>0.91133169989391927</v>
      </c>
      <c r="M74">
        <f t="shared" si="9"/>
        <v>0.49985568388924201</v>
      </c>
      <c r="N74">
        <f t="shared" si="10"/>
        <v>-0.59333333333333371</v>
      </c>
      <c r="O74">
        <f t="shared" si="11"/>
        <v>0.48333333333333428</v>
      </c>
    </row>
    <row r="75" spans="1:15" x14ac:dyDescent="0.35">
      <c r="A75" s="1">
        <v>44106</v>
      </c>
      <c r="B75">
        <v>19.07</v>
      </c>
      <c r="C75">
        <v>20.91</v>
      </c>
      <c r="D75">
        <v>18.82</v>
      </c>
      <c r="E75">
        <v>20.77</v>
      </c>
      <c r="F75">
        <v>19567446</v>
      </c>
      <c r="G75">
        <f t="shared" si="6"/>
        <v>20.056666666666668</v>
      </c>
      <c r="H75">
        <f t="shared" si="7"/>
        <v>0.77623020640357265</v>
      </c>
      <c r="L75">
        <f t="shared" si="8"/>
        <v>0.88514654370649115</v>
      </c>
      <c r="M75">
        <f t="shared" si="9"/>
        <v>0.89677243744882085</v>
      </c>
      <c r="N75">
        <f t="shared" si="10"/>
        <v>-0.10999999999999943</v>
      </c>
      <c r="O75">
        <f t="shared" si="11"/>
        <v>0.22333333333333272</v>
      </c>
    </row>
    <row r="76" spans="1:15" x14ac:dyDescent="0.35">
      <c r="A76" s="1">
        <v>44105</v>
      </c>
      <c r="B76">
        <v>19.25</v>
      </c>
      <c r="C76">
        <v>20.37</v>
      </c>
      <c r="D76">
        <v>19.149999999999999</v>
      </c>
      <c r="E76">
        <v>20.170000000000002</v>
      </c>
      <c r="F76">
        <v>13913884</v>
      </c>
      <c r="G76">
        <f t="shared" si="6"/>
        <v>19.946666666666669</v>
      </c>
      <c r="H76">
        <f t="shared" si="7"/>
        <v>0.6351640208114232</v>
      </c>
      <c r="L76">
        <f t="shared" si="8"/>
        <v>0.88029199227848476</v>
      </c>
      <c r="M76">
        <f t="shared" si="9"/>
        <v>0.73379982178471426</v>
      </c>
      <c r="N76">
        <f t="shared" si="10"/>
        <v>0.11333333333333329</v>
      </c>
      <c r="O76">
        <f t="shared" si="11"/>
        <v>-1.0466666666666669</v>
      </c>
    </row>
    <row r="77" spans="1:15" x14ac:dyDescent="0.35">
      <c r="A77" s="1">
        <v>44104</v>
      </c>
      <c r="B77">
        <v>20.059999999999999</v>
      </c>
      <c r="C77">
        <v>20.85</v>
      </c>
      <c r="D77">
        <v>18.96</v>
      </c>
      <c r="E77">
        <v>19.23</v>
      </c>
      <c r="F77">
        <v>19632189</v>
      </c>
      <c r="G77">
        <f t="shared" si="6"/>
        <v>20.060000000000002</v>
      </c>
      <c r="H77">
        <f t="shared" si="7"/>
        <v>0.71965269401288345</v>
      </c>
      <c r="L77">
        <f t="shared" si="8"/>
        <v>0.88529365132552162</v>
      </c>
      <c r="M77">
        <f t="shared" si="9"/>
        <v>0.83140889803380069</v>
      </c>
      <c r="N77">
        <f t="shared" si="10"/>
        <v>-0.93333333333333357</v>
      </c>
      <c r="O77">
        <f t="shared" si="11"/>
        <v>-0.57333333333333414</v>
      </c>
    </row>
    <row r="78" spans="1:15" x14ac:dyDescent="0.35">
      <c r="A78" s="1">
        <v>44103</v>
      </c>
      <c r="B78">
        <v>20.69</v>
      </c>
      <c r="C78">
        <v>20.98</v>
      </c>
      <c r="D78">
        <v>19.59</v>
      </c>
      <c r="E78">
        <v>20.440000000000001</v>
      </c>
      <c r="F78">
        <v>32274095</v>
      </c>
      <c r="G78">
        <f t="shared" si="6"/>
        <v>19.126666666666669</v>
      </c>
      <c r="H78">
        <f t="shared" si="7"/>
        <v>2.3356440938921619</v>
      </c>
      <c r="L78">
        <f t="shared" si="8"/>
        <v>0.84410351799698291</v>
      </c>
      <c r="M78">
        <f t="shared" si="9"/>
        <v>2.6983506050312558</v>
      </c>
      <c r="N78">
        <f t="shared" si="10"/>
        <v>-1.5066666666666677</v>
      </c>
      <c r="O78">
        <f t="shared" si="11"/>
        <v>-8.6666666666666003E-2</v>
      </c>
    </row>
    <row r="79" spans="1:15" x14ac:dyDescent="0.35">
      <c r="A79" s="1">
        <v>44102</v>
      </c>
      <c r="B79">
        <v>18.29</v>
      </c>
      <c r="C79">
        <v>20.78</v>
      </c>
      <c r="D79">
        <v>18.100000000000001</v>
      </c>
      <c r="E79">
        <v>20.51</v>
      </c>
      <c r="F79">
        <v>54571718</v>
      </c>
      <c r="G79">
        <f t="shared" si="6"/>
        <v>17.62</v>
      </c>
      <c r="H79">
        <f t="shared" si="7"/>
        <v>2.5157702597812941</v>
      </c>
      <c r="L79">
        <f t="shared" si="8"/>
        <v>0.77761087419519892</v>
      </c>
      <c r="M79">
        <f t="shared" si="9"/>
        <v>2.9064488979089806</v>
      </c>
      <c r="N79">
        <f t="shared" si="10"/>
        <v>-1.5933333333333337</v>
      </c>
      <c r="O79">
        <f t="shared" si="11"/>
        <v>1.6066666666666656</v>
      </c>
    </row>
    <row r="80" spans="1:15" x14ac:dyDescent="0.35">
      <c r="A80" s="1">
        <v>44099</v>
      </c>
      <c r="B80">
        <v>15.97</v>
      </c>
      <c r="C80">
        <v>16.47</v>
      </c>
      <c r="D80">
        <v>15.87</v>
      </c>
      <c r="E80">
        <v>16.43</v>
      </c>
      <c r="F80">
        <v>5428466</v>
      </c>
      <c r="G80">
        <f t="shared" si="6"/>
        <v>16.026666666666667</v>
      </c>
      <c r="H80">
        <f t="shared" si="7"/>
        <v>0.36198526673517128</v>
      </c>
      <c r="L80">
        <f t="shared" si="8"/>
        <v>0.70729343229862207</v>
      </c>
      <c r="M80">
        <f t="shared" si="9"/>
        <v>0.41819863140173602</v>
      </c>
      <c r="N80">
        <f t="shared" si="10"/>
        <v>1.3333333333331865E-2</v>
      </c>
      <c r="O80">
        <f t="shared" si="11"/>
        <v>0.17333333333333911</v>
      </c>
    </row>
    <row r="81" spans="1:15" x14ac:dyDescent="0.35">
      <c r="A81" s="1">
        <v>44098</v>
      </c>
      <c r="B81">
        <v>15.5</v>
      </c>
      <c r="C81">
        <v>16.34</v>
      </c>
      <c r="D81">
        <v>14.92</v>
      </c>
      <c r="E81">
        <v>15.92</v>
      </c>
      <c r="F81">
        <v>11891000</v>
      </c>
      <c r="G81">
        <f t="shared" si="6"/>
        <v>16.04</v>
      </c>
      <c r="H81">
        <f t="shared" si="7"/>
        <v>0.38431757701151192</v>
      </c>
      <c r="L81">
        <f t="shared" si="8"/>
        <v>0.70788186277474396</v>
      </c>
      <c r="M81">
        <f t="shared" si="9"/>
        <v>0.44399896763596525</v>
      </c>
      <c r="N81">
        <f t="shared" si="10"/>
        <v>0.18666666666667098</v>
      </c>
      <c r="O81">
        <f t="shared" si="11"/>
        <v>0.30666666666666131</v>
      </c>
    </row>
    <row r="82" spans="1:15" x14ac:dyDescent="0.35">
      <c r="A82" s="1">
        <v>44097</v>
      </c>
      <c r="B82">
        <v>16.440000000000001</v>
      </c>
      <c r="C82">
        <v>16.690000000000001</v>
      </c>
      <c r="D82">
        <v>15.54</v>
      </c>
      <c r="E82">
        <v>15.73</v>
      </c>
      <c r="F82">
        <v>9965116</v>
      </c>
      <c r="G82">
        <f t="shared" si="6"/>
        <v>16.22666666666667</v>
      </c>
      <c r="H82">
        <f t="shared" si="7"/>
        <v>0.43015501081974267</v>
      </c>
      <c r="L82">
        <f t="shared" si="8"/>
        <v>0.71611988944045191</v>
      </c>
      <c r="M82">
        <f t="shared" si="9"/>
        <v>0.49695458170960083</v>
      </c>
      <c r="N82">
        <f t="shared" si="10"/>
        <v>0.49333333333333229</v>
      </c>
      <c r="O82">
        <f t="shared" si="11"/>
        <v>-0.25666666666666771</v>
      </c>
    </row>
    <row r="83" spans="1:15" x14ac:dyDescent="0.35">
      <c r="A83" s="1">
        <v>44096</v>
      </c>
      <c r="B83">
        <v>16.489999999999998</v>
      </c>
      <c r="C83">
        <v>16.61</v>
      </c>
      <c r="D83">
        <v>16.12</v>
      </c>
      <c r="E83">
        <v>16.47</v>
      </c>
      <c r="F83">
        <v>6971917</v>
      </c>
      <c r="G83">
        <f t="shared" si="6"/>
        <v>16.720000000000002</v>
      </c>
      <c r="H83">
        <f t="shared" si="7"/>
        <v>0.42438190347845961</v>
      </c>
      <c r="L83">
        <f t="shared" si="8"/>
        <v>0.73789181705696516</v>
      </c>
      <c r="M83">
        <f t="shared" si="9"/>
        <v>0.4902849578024317</v>
      </c>
      <c r="N83">
        <f t="shared" si="10"/>
        <v>0.23666666666666458</v>
      </c>
      <c r="O83">
        <f t="shared" si="11"/>
        <v>7.3333333333334139E-2</v>
      </c>
    </row>
    <row r="84" spans="1:15" x14ac:dyDescent="0.35">
      <c r="A84" s="1">
        <v>44095</v>
      </c>
      <c r="B84">
        <v>16.760000000000002</v>
      </c>
      <c r="C84">
        <v>16.987300000000001</v>
      </c>
      <c r="D84">
        <v>15.895</v>
      </c>
      <c r="E84">
        <v>16.48</v>
      </c>
      <c r="F84">
        <v>10817357</v>
      </c>
      <c r="G84">
        <f t="shared" si="6"/>
        <v>16.956666666666667</v>
      </c>
      <c r="H84">
        <f t="shared" si="7"/>
        <v>0.41307787804884116</v>
      </c>
      <c r="L84">
        <f t="shared" si="8"/>
        <v>0.74833645800813031</v>
      </c>
      <c r="M84">
        <f t="shared" si="9"/>
        <v>0.47722550926013679</v>
      </c>
      <c r="N84">
        <f t="shared" si="10"/>
        <v>0.30999999999999872</v>
      </c>
      <c r="O84">
        <f t="shared" si="11"/>
        <v>-0.14666666666666117</v>
      </c>
    </row>
    <row r="85" spans="1:15" x14ac:dyDescent="0.35">
      <c r="A85" s="1">
        <v>44092</v>
      </c>
      <c r="B85">
        <v>17.22</v>
      </c>
      <c r="C85">
        <v>17.38</v>
      </c>
      <c r="D85">
        <v>16.815000000000001</v>
      </c>
      <c r="E85">
        <v>17.21</v>
      </c>
      <c r="F85">
        <v>8275807</v>
      </c>
      <c r="G85">
        <f t="shared" si="6"/>
        <v>17.266666666666666</v>
      </c>
      <c r="H85">
        <f t="shared" si="7"/>
        <v>0.12503332889007368</v>
      </c>
      <c r="L85">
        <f t="shared" si="8"/>
        <v>0.76201746657796632</v>
      </c>
      <c r="M85">
        <f t="shared" si="9"/>
        <v>0.14444998685453808</v>
      </c>
      <c r="N85">
        <f t="shared" si="10"/>
        <v>0.16333333333333755</v>
      </c>
      <c r="O85">
        <f t="shared" si="11"/>
        <v>-9.3333333333340818E-2</v>
      </c>
    </row>
    <row r="86" spans="1:15" x14ac:dyDescent="0.35">
      <c r="A86" s="1">
        <v>44091</v>
      </c>
      <c r="B86">
        <v>17</v>
      </c>
      <c r="C86">
        <v>17.32</v>
      </c>
      <c r="D86">
        <v>16.72</v>
      </c>
      <c r="E86">
        <v>17.18</v>
      </c>
      <c r="F86">
        <v>7316156</v>
      </c>
      <c r="G86">
        <f t="shared" si="6"/>
        <v>17.430000000000003</v>
      </c>
      <c r="H86">
        <f t="shared" si="7"/>
        <v>0.26057628441590741</v>
      </c>
      <c r="L86">
        <f t="shared" si="8"/>
        <v>0.76922573991046073</v>
      </c>
      <c r="M86">
        <f t="shared" si="9"/>
        <v>0.30104165979276298</v>
      </c>
      <c r="N86">
        <f t="shared" si="10"/>
        <v>6.9999999999996732E-2</v>
      </c>
      <c r="O86">
        <f t="shared" si="11"/>
        <v>-0.35333333333332817</v>
      </c>
    </row>
    <row r="87" spans="1:15" x14ac:dyDescent="0.35">
      <c r="A87" s="1">
        <v>44090</v>
      </c>
      <c r="B87">
        <v>17.53</v>
      </c>
      <c r="C87">
        <v>17.79</v>
      </c>
      <c r="D87">
        <v>17.28</v>
      </c>
      <c r="E87">
        <v>17.41</v>
      </c>
      <c r="F87">
        <v>6738463</v>
      </c>
      <c r="G87">
        <f t="shared" si="6"/>
        <v>17.5</v>
      </c>
      <c r="H87">
        <f t="shared" si="7"/>
        <v>0.17349351572897409</v>
      </c>
      <c r="L87">
        <f t="shared" si="8"/>
        <v>0.772314999910101</v>
      </c>
      <c r="M87">
        <f t="shared" si="9"/>
        <v>0.20043564615024412</v>
      </c>
      <c r="N87">
        <f t="shared" si="10"/>
        <v>-0.28333333333333144</v>
      </c>
      <c r="O87">
        <f t="shared" si="11"/>
        <v>0.19999999999999929</v>
      </c>
    </row>
    <row r="88" spans="1:15" x14ac:dyDescent="0.35">
      <c r="A88" s="1">
        <v>44089</v>
      </c>
      <c r="B88">
        <v>17.48</v>
      </c>
      <c r="C88">
        <v>18.079999999999998</v>
      </c>
      <c r="D88">
        <v>17.170000000000002</v>
      </c>
      <c r="E88">
        <v>17.7</v>
      </c>
      <c r="F88">
        <v>8909104</v>
      </c>
      <c r="G88">
        <f t="shared" si="6"/>
        <v>17.216666666666669</v>
      </c>
      <c r="H88">
        <f t="shared" si="7"/>
        <v>0.58943475748663987</v>
      </c>
      <c r="L88">
        <f t="shared" si="8"/>
        <v>0.759810852292509</v>
      </c>
      <c r="M88">
        <f t="shared" si="9"/>
        <v>0.68096917618988939</v>
      </c>
      <c r="N88">
        <f t="shared" si="10"/>
        <v>-8.3333333333332149E-2</v>
      </c>
      <c r="O88">
        <f t="shared" si="11"/>
        <v>0.18999999999999417</v>
      </c>
    </row>
    <row r="89" spans="1:15" x14ac:dyDescent="0.35">
      <c r="A89" s="1">
        <v>44088</v>
      </c>
      <c r="B89">
        <v>16.8</v>
      </c>
      <c r="C89">
        <v>17.468900000000001</v>
      </c>
      <c r="D89">
        <v>16.619900000000001</v>
      </c>
      <c r="E89">
        <v>17.39</v>
      </c>
      <c r="F89">
        <v>7629580</v>
      </c>
      <c r="G89">
        <f t="shared" si="6"/>
        <v>17.133333333333336</v>
      </c>
      <c r="H89">
        <f t="shared" si="7"/>
        <v>0.49742671151973133</v>
      </c>
      <c r="L89">
        <f t="shared" si="8"/>
        <v>0.75613316181674661</v>
      </c>
      <c r="M89">
        <f t="shared" si="9"/>
        <v>0.57467302980706036</v>
      </c>
      <c r="N89">
        <f t="shared" si="10"/>
        <v>0.10666666666666202</v>
      </c>
      <c r="O89">
        <f t="shared" si="11"/>
        <v>0.17333333333333911</v>
      </c>
    </row>
    <row r="90" spans="1:15" x14ac:dyDescent="0.35">
      <c r="A90" s="1">
        <v>44085</v>
      </c>
      <c r="B90">
        <v>17.45</v>
      </c>
      <c r="C90">
        <v>17.600000000000001</v>
      </c>
      <c r="D90">
        <v>16.329999999999998</v>
      </c>
      <c r="E90">
        <v>16.559999999999999</v>
      </c>
      <c r="F90">
        <v>12764685</v>
      </c>
      <c r="G90">
        <f t="shared" si="6"/>
        <v>17.239999999999998</v>
      </c>
      <c r="H90">
        <f t="shared" si="7"/>
        <v>0.603075451332585</v>
      </c>
      <c r="L90">
        <f t="shared" si="8"/>
        <v>0.76084060562572231</v>
      </c>
      <c r="M90">
        <f t="shared" si="9"/>
        <v>0.69672815872858418</v>
      </c>
      <c r="N90">
        <f t="shared" si="10"/>
        <v>0.28000000000000114</v>
      </c>
    </row>
    <row r="91" spans="1:15" x14ac:dyDescent="0.35">
      <c r="A91" s="1">
        <v>44084</v>
      </c>
      <c r="B91">
        <v>17.84</v>
      </c>
      <c r="C91">
        <v>18.459900000000001</v>
      </c>
      <c r="D91">
        <v>17.29</v>
      </c>
      <c r="E91">
        <v>17.45</v>
      </c>
      <c r="F91">
        <v>12749765</v>
      </c>
      <c r="G91">
        <f t="shared" si="6"/>
        <v>17.52</v>
      </c>
      <c r="H91">
        <f t="shared" si="7"/>
        <v>0.16643316977093353</v>
      </c>
      <c r="L91">
        <f t="shared" si="8"/>
        <v>0.77319764562428395</v>
      </c>
      <c r="M91">
        <f t="shared" si="9"/>
        <v>0.19227888594973716</v>
      </c>
    </row>
    <row r="92" spans="1:15" x14ac:dyDescent="0.35">
      <c r="A92" s="1">
        <v>44083</v>
      </c>
      <c r="B92">
        <v>18.18</v>
      </c>
      <c r="C92">
        <v>18.704999999999998</v>
      </c>
      <c r="D92">
        <v>17.12</v>
      </c>
      <c r="E92">
        <v>17.71</v>
      </c>
      <c r="F92">
        <v>20204473</v>
      </c>
    </row>
    <row r="93" spans="1:15" x14ac:dyDescent="0.35">
      <c r="A93" s="1">
        <v>44082</v>
      </c>
      <c r="B93">
        <v>16.39</v>
      </c>
      <c r="C93">
        <v>18.25</v>
      </c>
      <c r="D93">
        <v>16</v>
      </c>
      <c r="E93">
        <v>17.399999999999999</v>
      </c>
      <c r="F93">
        <v>20267088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SPCE_cuphandle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</dc:creator>
  <cp:lastModifiedBy>Sebastian</cp:lastModifiedBy>
  <dcterms:created xsi:type="dcterms:W3CDTF">2021-02-08T03:31:18Z</dcterms:created>
  <dcterms:modified xsi:type="dcterms:W3CDTF">2021-02-08T03:54:27Z</dcterms:modified>
</cp:coreProperties>
</file>